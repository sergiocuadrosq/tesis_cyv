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tesis_cyv\output\figuras\"/>
    </mc:Choice>
  </mc:AlternateContent>
  <xr:revisionPtr revIDLastSave="0" documentId="8_{36CD877B-9D76-4474-AEB5-728DA4E918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adatos" sheetId="1" r:id="rId1"/>
    <sheet name="Mensual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C25" i="2"/>
  <c r="E25" i="2"/>
  <c r="I2" i="2"/>
  <c r="B17" i="2" s="1"/>
  <c r="I3" i="2"/>
  <c r="B18" i="2" s="1"/>
  <c r="I4" i="2"/>
  <c r="B19" i="2" s="1"/>
  <c r="I5" i="2"/>
  <c r="E20" i="2" s="1"/>
  <c r="I6" i="2"/>
  <c r="E21" i="2" s="1"/>
  <c r="I7" i="2"/>
  <c r="E22" i="2" s="1"/>
  <c r="I8" i="2"/>
  <c r="B23" i="2" s="1"/>
  <c r="I9" i="2"/>
  <c r="D24" i="2" s="1"/>
  <c r="I11" i="2"/>
  <c r="B26" i="2" s="1"/>
  <c r="D17" i="2"/>
  <c r="D25" i="2"/>
  <c r="E24" i="2" l="1"/>
  <c r="E23" i="2"/>
  <c r="D26" i="2"/>
  <c r="E19" i="2"/>
  <c r="D21" i="2"/>
  <c r="E18" i="2"/>
  <c r="D23" i="2"/>
  <c r="D18" i="2"/>
  <c r="C24" i="2"/>
  <c r="C26" i="2"/>
  <c r="B24" i="2"/>
  <c r="C23" i="2"/>
  <c r="E17" i="2"/>
  <c r="E26" i="2"/>
  <c r="C22" i="2"/>
  <c r="B22" i="2"/>
  <c r="C21" i="2"/>
  <c r="B21" i="2"/>
  <c r="C20" i="2"/>
  <c r="B20" i="2"/>
  <c r="C19" i="2"/>
  <c r="C18" i="2"/>
  <c r="C17" i="2"/>
  <c r="D19" i="2"/>
  <c r="D20" i="2"/>
  <c r="D22" i="2"/>
</calcChain>
</file>

<file path=xl/sharedStrings.xml><?xml version="1.0" encoding="utf-8"?>
<sst xmlns="http://schemas.openxmlformats.org/spreadsheetml/2006/main" count="41" uniqueCount="37">
  <si>
    <t>Código de serie</t>
  </si>
  <si>
    <t>PN38705PM</t>
  </si>
  <si>
    <t>Categoría de serie</t>
  </si>
  <si>
    <t>Inflación</t>
  </si>
  <si>
    <t>Grupo de serie</t>
  </si>
  <si>
    <t>Índice de precios Lima Metropolitana (índice Dic.2021 = 100)</t>
  </si>
  <si>
    <t>Nombre de serie</t>
  </si>
  <si>
    <t>Índice de Precios al Consumidor (IPC)</t>
  </si>
  <si>
    <t>Descripción de la serie</t>
  </si>
  <si>
    <t>Metodología de la serie</t>
  </si>
  <si>
    <t>Unidad de medida</t>
  </si>
  <si>
    <t>Escala</t>
  </si>
  <si>
    <t>Geografía</t>
  </si>
  <si>
    <t>Fuente</t>
  </si>
  <si>
    <t>INEI</t>
  </si>
  <si>
    <t>Frecuencia</t>
  </si>
  <si>
    <t>Mensual</t>
  </si>
  <si>
    <t>Fecha de creación</t>
  </si>
  <si>
    <t>2022-04-08</t>
  </si>
  <si>
    <t>Grupo de publicación</t>
  </si>
  <si>
    <t>Índice de precios al consumidor y tipo de cambio real</t>
  </si>
  <si>
    <t>Área que publica</t>
  </si>
  <si>
    <t>Departamento de Estadísticas de Precios</t>
  </si>
  <si>
    <t>Fecha de actualización</t>
  </si>
  <si>
    <t>2025-10-03</t>
  </si>
  <si>
    <t>Fecha de inicio</t>
  </si>
  <si>
    <t>Ene-1991</t>
  </si>
  <si>
    <t>Fecha de fin</t>
  </si>
  <si>
    <t>Dic-2024</t>
  </si>
  <si>
    <t>Memo</t>
  </si>
  <si>
    <t>Caliper 2</t>
  </si>
  <si>
    <t>Caliper 1.5</t>
  </si>
  <si>
    <t>Ingresos</t>
  </si>
  <si>
    <t>Año</t>
  </si>
  <si>
    <t>IPC, 2019=100</t>
  </si>
  <si>
    <t>IPC, dic21=100</t>
  </si>
  <si>
    <t>Caliper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</si>
</sst>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ColWidth="9.109375" defaultRowHeight="14.4" x14ac:dyDescent="0.3"/>
  <cols>
    <col min="1" max="1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showGridLines="0" tabSelected="1" workbookViewId="0">
      <selection activeCell="H19" sqref="H19"/>
    </sheetView>
  </sheetViews>
  <sheetFormatPr defaultColWidth="9.109375" defaultRowHeight="14.4" x14ac:dyDescent="0.3"/>
  <cols>
    <col min="8" max="8" width="12.88671875" bestFit="1" customWidth="1"/>
    <col min="9" max="9" width="12.5546875" bestFit="1" customWidth="1"/>
  </cols>
  <sheetData>
    <row r="1" spans="1:9" x14ac:dyDescent="0.3">
      <c r="A1" s="2" t="s">
        <v>33</v>
      </c>
      <c r="B1" s="2" t="s">
        <v>32</v>
      </c>
      <c r="C1" s="2" t="s">
        <v>31</v>
      </c>
      <c r="D1" s="2" t="s">
        <v>30</v>
      </c>
      <c r="E1" s="2" t="s">
        <v>36</v>
      </c>
      <c r="H1" s="1" t="s">
        <v>35</v>
      </c>
      <c r="I1" t="s">
        <v>34</v>
      </c>
    </row>
    <row r="2" spans="1:9" x14ac:dyDescent="0.3">
      <c r="A2" s="2">
        <v>2011</v>
      </c>
      <c r="B2">
        <v>1528.9390000000001</v>
      </c>
      <c r="C2">
        <v>1691.3130000000001</v>
      </c>
      <c r="D2" s="3">
        <v>1663.076</v>
      </c>
      <c r="E2">
        <v>1603.9179999999999</v>
      </c>
      <c r="G2">
        <v>2011</v>
      </c>
      <c r="H2" s="4">
        <v>74.313261632374804</v>
      </c>
      <c r="I2" s="4">
        <f t="shared" ref="I2:I9" si="0">H2*$I$10/$H$10</f>
        <v>80.652558774289915</v>
      </c>
    </row>
    <row r="3" spans="1:9" x14ac:dyDescent="0.3">
      <c r="A3" s="2">
        <v>2012</v>
      </c>
      <c r="B3">
        <v>1424.4749999999999</v>
      </c>
      <c r="C3">
        <v>1976.4480000000001</v>
      </c>
      <c r="D3" s="3">
        <v>1828.127</v>
      </c>
      <c r="E3">
        <v>2085.192</v>
      </c>
      <c r="G3">
        <v>2012</v>
      </c>
      <c r="H3" s="4">
        <v>76.282094060307898</v>
      </c>
      <c r="I3" s="4">
        <f t="shared" si="0"/>
        <v>82.789342567957007</v>
      </c>
    </row>
    <row r="4" spans="1:9" x14ac:dyDescent="0.3">
      <c r="A4" s="2">
        <v>2013</v>
      </c>
      <c r="B4">
        <v>1469.9939999999999</v>
      </c>
      <c r="C4">
        <v>1959.116</v>
      </c>
      <c r="D4" s="3">
        <v>1860.74</v>
      </c>
      <c r="E4">
        <v>1991.7349999999999</v>
      </c>
      <c r="G4">
        <v>2013</v>
      </c>
      <c r="H4" s="4">
        <v>78.463518729394195</v>
      </c>
      <c r="I4" s="4">
        <f t="shared" si="0"/>
        <v>85.156853796377121</v>
      </c>
    </row>
    <row r="5" spans="1:9" x14ac:dyDescent="0.3">
      <c r="A5" s="2">
        <v>2014</v>
      </c>
      <c r="B5">
        <v>1540.077</v>
      </c>
      <c r="C5">
        <v>1916.9110000000001</v>
      </c>
      <c r="D5" s="3">
        <v>1888.6320000000001</v>
      </c>
      <c r="E5">
        <v>1838.9280000000001</v>
      </c>
      <c r="G5">
        <v>2014</v>
      </c>
      <c r="H5" s="4">
        <v>80.993230584050593</v>
      </c>
      <c r="I5" s="4">
        <f t="shared" si="0"/>
        <v>87.902362869158935</v>
      </c>
    </row>
    <row r="6" spans="1:9" x14ac:dyDescent="0.3">
      <c r="A6" s="2">
        <v>2015</v>
      </c>
      <c r="B6">
        <v>1474.9970000000001</v>
      </c>
      <c r="C6">
        <v>1909.1579999999999</v>
      </c>
      <c r="D6" s="3">
        <v>1971.0440000000001</v>
      </c>
      <c r="E6">
        <v>2033.587</v>
      </c>
      <c r="G6">
        <v>2015</v>
      </c>
      <c r="H6" s="4">
        <v>84.555254988726603</v>
      </c>
      <c r="I6" s="4">
        <f t="shared" si="0"/>
        <v>91.768245974583408</v>
      </c>
    </row>
    <row r="7" spans="1:9" x14ac:dyDescent="0.3">
      <c r="A7" s="2">
        <v>2016</v>
      </c>
      <c r="B7">
        <v>1594.338</v>
      </c>
      <c r="C7">
        <v>2044.8219999999999</v>
      </c>
      <c r="D7" s="3">
        <v>2002.7360000000001</v>
      </c>
      <c r="E7">
        <v>2242.2040000000002</v>
      </c>
      <c r="G7">
        <v>2016</v>
      </c>
      <c r="H7" s="4">
        <v>87.290517670446405</v>
      </c>
      <c r="I7" s="4">
        <f t="shared" si="0"/>
        <v>94.736840399786516</v>
      </c>
    </row>
    <row r="8" spans="1:9" x14ac:dyDescent="0.3">
      <c r="A8" s="2">
        <v>2017</v>
      </c>
      <c r="B8">
        <v>1572.306</v>
      </c>
      <c r="C8">
        <v>2005.2170000000001</v>
      </c>
      <c r="D8" s="3">
        <v>2036.288</v>
      </c>
      <c r="E8">
        <v>1971.2919999999999</v>
      </c>
      <c r="G8">
        <v>2017</v>
      </c>
      <c r="H8" s="4">
        <v>88.481907436796305</v>
      </c>
      <c r="I8" s="4">
        <f t="shared" si="0"/>
        <v>96.029861740028181</v>
      </c>
    </row>
    <row r="9" spans="1:9" x14ac:dyDescent="0.3">
      <c r="A9" s="2">
        <v>2018</v>
      </c>
      <c r="B9">
        <v>1821.405</v>
      </c>
      <c r="C9">
        <v>2085.8339999999998</v>
      </c>
      <c r="D9" s="3">
        <v>2048.1379999999999</v>
      </c>
      <c r="E9">
        <v>1961.3889999999999</v>
      </c>
      <c r="G9">
        <v>2018</v>
      </c>
      <c r="H9" s="4">
        <v>90.421893744332294</v>
      </c>
      <c r="I9" s="4">
        <f t="shared" si="0"/>
        <v>98.135338693305926</v>
      </c>
    </row>
    <row r="10" spans="1:9" x14ac:dyDescent="0.3">
      <c r="A10" s="2">
        <v>2019</v>
      </c>
      <c r="B10">
        <v>2040.4849999999999</v>
      </c>
      <c r="C10">
        <v>2117.7240000000002</v>
      </c>
      <c r="D10" s="3">
        <v>2156.5889999999999</v>
      </c>
      <c r="E10">
        <v>2176.9989999999998</v>
      </c>
      <c r="G10">
        <v>2019</v>
      </c>
      <c r="H10" s="4">
        <v>92.139992533087593</v>
      </c>
      <c r="I10" s="4">
        <v>100</v>
      </c>
    </row>
    <row r="11" spans="1:9" x14ac:dyDescent="0.3">
      <c r="A11" s="2">
        <v>2020</v>
      </c>
      <c r="B11">
        <v>1992.7339999999999</v>
      </c>
      <c r="C11">
        <v>2054.6610000000001</v>
      </c>
      <c r="D11" s="3">
        <v>1978.6220000000001</v>
      </c>
      <c r="E11">
        <v>2038.4659999999999</v>
      </c>
      <c r="G11">
        <v>2020</v>
      </c>
      <c r="H11" s="4">
        <v>93.958128561973197</v>
      </c>
      <c r="I11" s="4">
        <f>H11*I10/H10</f>
        <v>101.97323222946073</v>
      </c>
    </row>
    <row r="16" spans="1:9" x14ac:dyDescent="0.3">
      <c r="A16" s="2" t="s">
        <v>33</v>
      </c>
      <c r="B16" s="2" t="s">
        <v>32</v>
      </c>
      <c r="C16" s="2" t="s">
        <v>31</v>
      </c>
      <c r="D16" s="2" t="s">
        <v>30</v>
      </c>
    </row>
    <row r="17" spans="1:5" x14ac:dyDescent="0.3">
      <c r="A17" s="2">
        <v>2011</v>
      </c>
      <c r="B17" s="3">
        <f t="shared" ref="B17:C26" si="1">B2/$I2*100</f>
        <v>1895.7104687512888</v>
      </c>
      <c r="C17" s="3">
        <f t="shared" si="1"/>
        <v>2097.0357614235418</v>
      </c>
      <c r="D17" s="3">
        <f t="shared" ref="D17:E26" si="2">D2/$I2*100</f>
        <v>2062.0250929101935</v>
      </c>
      <c r="E17" s="3">
        <f t="shared" si="2"/>
        <v>1988.6759011436225</v>
      </c>
    </row>
    <row r="18" spans="1:5" x14ac:dyDescent="0.3">
      <c r="A18" s="2">
        <v>2012</v>
      </c>
      <c r="B18" s="3">
        <f t="shared" si="1"/>
        <v>1720.6018985242338</v>
      </c>
      <c r="C18" s="3">
        <f t="shared" si="1"/>
        <v>2387.3217719752365</v>
      </c>
      <c r="D18" s="3">
        <f t="shared" si="2"/>
        <v>2208.1670699334227</v>
      </c>
      <c r="E18" s="3">
        <f t="shared" ref="E18:E26" si="3">E3/$I3*100</f>
        <v>2518.6720117850746</v>
      </c>
    </row>
    <row r="19" spans="1:5" x14ac:dyDescent="0.3">
      <c r="A19" s="2">
        <v>2013</v>
      </c>
      <c r="B19" s="3">
        <f t="shared" si="1"/>
        <v>1726.219246562323</v>
      </c>
      <c r="C19" s="3">
        <f t="shared" si="1"/>
        <v>2300.5969721292681</v>
      </c>
      <c r="D19" s="3">
        <f t="shared" si="2"/>
        <v>2185.0736811499755</v>
      </c>
      <c r="E19" s="3">
        <f t="shared" si="3"/>
        <v>2338.9015812661873</v>
      </c>
    </row>
    <row r="20" spans="1:5" x14ac:dyDescent="0.3">
      <c r="A20" s="2">
        <v>2014</v>
      </c>
      <c r="B20" s="3">
        <f t="shared" si="1"/>
        <v>1752.0314013542236</v>
      </c>
      <c r="C20" s="3">
        <f t="shared" si="1"/>
        <v>2180.7274997297709</v>
      </c>
      <c r="D20" s="3">
        <f t="shared" si="2"/>
        <v>2148.5565784064238</v>
      </c>
      <c r="E20" s="3">
        <f t="shared" si="3"/>
        <v>2092.012023314107</v>
      </c>
    </row>
    <row r="21" spans="1:5" x14ac:dyDescent="0.3">
      <c r="A21" s="2">
        <v>2015</v>
      </c>
      <c r="B21" s="3">
        <f t="shared" si="1"/>
        <v>1607.3065190856134</v>
      </c>
      <c r="C21" s="3">
        <f t="shared" si="1"/>
        <v>2080.412434306274</v>
      </c>
      <c r="D21" s="3">
        <f t="shared" si="2"/>
        <v>2147.8497045109812</v>
      </c>
      <c r="E21" s="3">
        <f t="shared" si="3"/>
        <v>2216.0029086349023</v>
      </c>
    </row>
    <row r="22" spans="1:5" x14ac:dyDescent="0.3">
      <c r="A22" s="2">
        <v>2016</v>
      </c>
      <c r="B22" s="3">
        <f t="shared" si="1"/>
        <v>1682.9123636295481</v>
      </c>
      <c r="C22" s="3">
        <f t="shared" si="1"/>
        <v>2158.4232610787049</v>
      </c>
      <c r="D22" s="3">
        <f t="shared" si="2"/>
        <v>2113.9991491678597</v>
      </c>
      <c r="E22" s="3">
        <f t="shared" si="3"/>
        <v>2366.7709314960989</v>
      </c>
    </row>
    <row r="23" spans="1:5" x14ac:dyDescent="0.3">
      <c r="A23" s="2">
        <v>2017</v>
      </c>
      <c r="B23" s="3">
        <f t="shared" si="1"/>
        <v>1637.309448863462</v>
      </c>
      <c r="C23" s="3">
        <f t="shared" si="1"/>
        <v>2088.1181787270702</v>
      </c>
      <c r="D23" s="3">
        <f t="shared" si="2"/>
        <v>2120.4737392131565</v>
      </c>
      <c r="E23" s="3">
        <f t="shared" si="3"/>
        <v>2052.7906260415921</v>
      </c>
    </row>
    <row r="24" spans="1:5" x14ac:dyDescent="0.3">
      <c r="A24" s="2">
        <v>2018</v>
      </c>
      <c r="B24" s="3">
        <f t="shared" si="1"/>
        <v>1856.0133630274443</v>
      </c>
      <c r="C24" s="3">
        <f t="shared" si="1"/>
        <v>2125.4667561893075</v>
      </c>
      <c r="D24" s="3">
        <f t="shared" si="2"/>
        <v>2087.0544976676265</v>
      </c>
      <c r="E24" s="3">
        <f t="shared" si="3"/>
        <v>1998.6571872236186</v>
      </c>
    </row>
    <row r="25" spans="1:5" x14ac:dyDescent="0.3">
      <c r="A25" s="2">
        <v>2019</v>
      </c>
      <c r="B25" s="3">
        <f t="shared" si="1"/>
        <v>2040.4849999999999</v>
      </c>
      <c r="C25" s="3">
        <f t="shared" si="1"/>
        <v>2117.7240000000002</v>
      </c>
      <c r="D25" s="3">
        <f t="shared" si="2"/>
        <v>2156.5889999999999</v>
      </c>
      <c r="E25" s="3">
        <f t="shared" si="3"/>
        <v>2176.9989999999998</v>
      </c>
    </row>
    <row r="26" spans="1:5" x14ac:dyDescent="0.3">
      <c r="A26" s="2">
        <v>2020</v>
      </c>
      <c r="B26" s="3">
        <f t="shared" si="1"/>
        <v>1954.1736163819332</v>
      </c>
      <c r="C26" s="3">
        <f t="shared" si="1"/>
        <v>2014.9022984547457</v>
      </c>
      <c r="D26" s="3">
        <f t="shared" si="2"/>
        <v>1940.3346905271117</v>
      </c>
      <c r="E26" s="3">
        <f t="shared" si="3"/>
        <v>1999.0206796750665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Sergio Cuadros</cp:lastModifiedBy>
  <dcterms:created xsi:type="dcterms:W3CDTF">2025-11-20T13:41:27Z</dcterms:created>
  <dcterms:modified xsi:type="dcterms:W3CDTF">2025-11-21T22:57:44Z</dcterms:modified>
  <cp:category/>
</cp:coreProperties>
</file>