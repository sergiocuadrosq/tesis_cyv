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tesis_cyv\output\figuras\"/>
    </mc:Choice>
  </mc:AlternateContent>
  <xr:revisionPtr revIDLastSave="0" documentId="13_ncr:1_{2CB213F8-035A-4CD9-A2DC-C24170675F0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tadatos" sheetId="1" r:id="rId1"/>
    <sheet name="Mensual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B21" i="2" s="1"/>
  <c r="G7" i="2"/>
  <c r="B22" i="2" s="1"/>
  <c r="G8" i="2"/>
  <c r="B23" i="2" s="1"/>
  <c r="G9" i="2"/>
  <c r="G11" i="2"/>
  <c r="B26" i="2" s="1"/>
  <c r="B17" i="2"/>
  <c r="B18" i="2"/>
  <c r="B19" i="2"/>
  <c r="B24" i="2"/>
  <c r="B25" i="2"/>
  <c r="B20" i="2" l="1"/>
</calcChain>
</file>

<file path=xl/sharedStrings.xml><?xml version="1.0" encoding="utf-8"?>
<sst xmlns="http://schemas.openxmlformats.org/spreadsheetml/2006/main" count="36" uniqueCount="34">
  <si>
    <t>Código de serie</t>
  </si>
  <si>
    <t>PN38705PM</t>
  </si>
  <si>
    <t>Categoría de serie</t>
  </si>
  <si>
    <t>Inflación</t>
  </si>
  <si>
    <t>Grupo de serie</t>
  </si>
  <si>
    <t>Índice de precios Lima Metropolitana (índice Dic.2021 = 100)</t>
  </si>
  <si>
    <t>Nombre de serie</t>
  </si>
  <si>
    <t>Índice de Precios al Consumidor (IPC)</t>
  </si>
  <si>
    <t>Descripción de la serie</t>
  </si>
  <si>
    <t>Metodología de la serie</t>
  </si>
  <si>
    <t>Unidad de medida</t>
  </si>
  <si>
    <t>Escala</t>
  </si>
  <si>
    <t>Geografía</t>
  </si>
  <si>
    <t>Fuente</t>
  </si>
  <si>
    <t>INEI</t>
  </si>
  <si>
    <t>Frecuencia</t>
  </si>
  <si>
    <t>Mensual</t>
  </si>
  <si>
    <t>Fecha de creación</t>
  </si>
  <si>
    <t>2022-04-08</t>
  </si>
  <si>
    <t>Grupo de publicación</t>
  </si>
  <si>
    <t>Índice de precios al consumidor y tipo de cambio real</t>
  </si>
  <si>
    <t>Área que publica</t>
  </si>
  <si>
    <t>Departamento de Estadísticas de Precios</t>
  </si>
  <si>
    <t>Fecha de actualización</t>
  </si>
  <si>
    <t>2025-10-03</t>
  </si>
  <si>
    <t>Fecha de inicio</t>
  </si>
  <si>
    <t>Ene-1991</t>
  </si>
  <si>
    <t>Fecha de fin</t>
  </si>
  <si>
    <t>Dic-2024</t>
  </si>
  <si>
    <t>Memo</t>
  </si>
  <si>
    <t>Ingresos</t>
  </si>
  <si>
    <t>Año</t>
  </si>
  <si>
    <t>IPC, 2019=100</t>
  </si>
  <si>
    <t>IPC, dic21=100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</si>
</sst>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ColWidth="9.109375" defaultRowHeight="14.4" x14ac:dyDescent="0.3"/>
  <cols>
    <col min="1" max="1" width="2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10</v>
      </c>
    </row>
    <row r="8" spans="1:2" x14ac:dyDescent="0.3">
      <c r="A8" t="s">
        <v>11</v>
      </c>
    </row>
    <row r="9" spans="1:2" x14ac:dyDescent="0.3">
      <c r="A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abSelected="1" workbookViewId="0">
      <selection activeCell="B17" sqref="B17:B26"/>
    </sheetView>
  </sheetViews>
  <sheetFormatPr defaultColWidth="9.109375" defaultRowHeight="14.4" x14ac:dyDescent="0.3"/>
  <sheetData>
    <row r="1" spans="1:7" x14ac:dyDescent="0.3">
      <c r="A1" s="2" t="s">
        <v>31</v>
      </c>
      <c r="B1" s="2" t="s">
        <v>30</v>
      </c>
      <c r="F1" s="1" t="s">
        <v>33</v>
      </c>
      <c r="G1" t="s">
        <v>32</v>
      </c>
    </row>
    <row r="2" spans="1:7" x14ac:dyDescent="0.3">
      <c r="A2" s="2">
        <v>2011</v>
      </c>
      <c r="B2">
        <v>2120.9059999999999</v>
      </c>
      <c r="E2">
        <v>2011</v>
      </c>
      <c r="F2" s="4">
        <v>74.313261632374804</v>
      </c>
      <c r="G2" s="4">
        <f t="shared" ref="G2:G9" si="0">F2*$G$10/$F$10</f>
        <v>80.652558774289915</v>
      </c>
    </row>
    <row r="3" spans="1:7" x14ac:dyDescent="0.3">
      <c r="A3" s="2">
        <v>2012</v>
      </c>
      <c r="B3">
        <v>2287.5859999999998</v>
      </c>
      <c r="E3">
        <v>2012</v>
      </c>
      <c r="F3" s="4">
        <v>76.282094060307898</v>
      </c>
      <c r="G3" s="4">
        <f t="shared" si="0"/>
        <v>82.789342567957007</v>
      </c>
    </row>
    <row r="4" spans="1:7" x14ac:dyDescent="0.3">
      <c r="A4" s="2">
        <v>2013</v>
      </c>
      <c r="B4">
        <v>2263.0250000000001</v>
      </c>
      <c r="E4">
        <v>2013</v>
      </c>
      <c r="F4" s="4">
        <v>78.463518729394195</v>
      </c>
      <c r="G4" s="4">
        <f t="shared" si="0"/>
        <v>85.156853796377121</v>
      </c>
    </row>
    <row r="5" spans="1:7" x14ac:dyDescent="0.3">
      <c r="A5" s="2">
        <v>2014</v>
      </c>
      <c r="B5">
        <v>2368.6320000000001</v>
      </c>
      <c r="E5">
        <v>2014</v>
      </c>
      <c r="F5" s="4">
        <v>80.993230584050593</v>
      </c>
      <c r="G5" s="4">
        <f t="shared" si="0"/>
        <v>87.902362869158935</v>
      </c>
    </row>
    <row r="6" spans="1:7" x14ac:dyDescent="0.3">
      <c r="A6" s="2">
        <v>2015</v>
      </c>
      <c r="B6">
        <v>2540.5540000000001</v>
      </c>
      <c r="E6">
        <v>2015</v>
      </c>
      <c r="F6" s="4">
        <v>84.555254988726603</v>
      </c>
      <c r="G6" s="4">
        <f t="shared" si="0"/>
        <v>91.768245974583408</v>
      </c>
    </row>
    <row r="7" spans="1:7" x14ac:dyDescent="0.3">
      <c r="A7" s="2">
        <v>2016</v>
      </c>
      <c r="B7">
        <v>2626.2139999999999</v>
      </c>
      <c r="E7">
        <v>2016</v>
      </c>
      <c r="F7" s="4">
        <v>87.290517670446405</v>
      </c>
      <c r="G7" s="4">
        <f t="shared" si="0"/>
        <v>94.736840399786516</v>
      </c>
    </row>
    <row r="8" spans="1:7" x14ac:dyDescent="0.3">
      <c r="A8" s="2">
        <v>2017</v>
      </c>
      <c r="B8">
        <v>2666.8020000000001</v>
      </c>
      <c r="E8">
        <v>2017</v>
      </c>
      <c r="F8" s="4">
        <v>88.481907436796305</v>
      </c>
      <c r="G8" s="4">
        <f t="shared" si="0"/>
        <v>96.029861740028181</v>
      </c>
    </row>
    <row r="9" spans="1:7" x14ac:dyDescent="0.3">
      <c r="A9" s="2">
        <v>2018</v>
      </c>
      <c r="B9">
        <v>2709.9319999999998</v>
      </c>
      <c r="E9">
        <v>2018</v>
      </c>
      <c r="F9" s="4">
        <v>90.421893744332294</v>
      </c>
      <c r="G9" s="4">
        <f t="shared" si="0"/>
        <v>98.135338693305926</v>
      </c>
    </row>
    <row r="10" spans="1:7" x14ac:dyDescent="0.3">
      <c r="A10" s="2">
        <v>2019</v>
      </c>
      <c r="B10">
        <v>2820.8110000000001</v>
      </c>
      <c r="E10">
        <v>2019</v>
      </c>
      <c r="F10" s="4">
        <v>92.139992533087593</v>
      </c>
      <c r="G10" s="4">
        <v>100</v>
      </c>
    </row>
    <row r="11" spans="1:7" x14ac:dyDescent="0.3">
      <c r="A11" s="2">
        <v>2020</v>
      </c>
      <c r="B11">
        <v>2601.317</v>
      </c>
      <c r="E11">
        <v>2020</v>
      </c>
      <c r="F11" s="4">
        <v>93.958128561973197</v>
      </c>
      <c r="G11" s="4">
        <f>F11*G10/F10</f>
        <v>101.97323222946073</v>
      </c>
    </row>
    <row r="16" spans="1:7" x14ac:dyDescent="0.3">
      <c r="A16" s="2" t="s">
        <v>31</v>
      </c>
      <c r="B16" s="2" t="s">
        <v>30</v>
      </c>
    </row>
    <row r="17" spans="1:2" x14ac:dyDescent="0.3">
      <c r="A17" s="2">
        <v>2011</v>
      </c>
      <c r="B17" s="3">
        <f>B2/$G2*100</f>
        <v>2629.6822224022153</v>
      </c>
    </row>
    <row r="18" spans="1:2" x14ac:dyDescent="0.3">
      <c r="A18" s="2">
        <v>2012</v>
      </c>
      <c r="B18" s="3">
        <f>B3/$G3*100</f>
        <v>2763.1406761350377</v>
      </c>
    </row>
    <row r="19" spans="1:2" x14ac:dyDescent="0.3">
      <c r="A19" s="2">
        <v>2013</v>
      </c>
      <c r="B19" s="3">
        <f>B4/$G4*100</f>
        <v>2657.4784049810414</v>
      </c>
    </row>
    <row r="20" spans="1:2" x14ac:dyDescent="0.3">
      <c r="A20" s="2">
        <v>2014</v>
      </c>
      <c r="B20" s="3">
        <f>B5/$G5*100</f>
        <v>2694.616984899104</v>
      </c>
    </row>
    <row r="21" spans="1:2" x14ac:dyDescent="0.3">
      <c r="A21" s="2">
        <v>2015</v>
      </c>
      <c r="B21" s="3">
        <f>B6/$G6*100</f>
        <v>2768.4456350006349</v>
      </c>
    </row>
    <row r="22" spans="1:2" x14ac:dyDescent="0.3">
      <c r="A22" s="2">
        <v>2016</v>
      </c>
      <c r="B22" s="3">
        <f>B7/$G7*100</f>
        <v>2772.1148276820918</v>
      </c>
    </row>
    <row r="23" spans="1:2" x14ac:dyDescent="0.3">
      <c r="A23" s="2">
        <v>2017</v>
      </c>
      <c r="B23" s="3">
        <f>B8/$G8*100</f>
        <v>2777.054919874362</v>
      </c>
    </row>
    <row r="24" spans="1:2" x14ac:dyDescent="0.3">
      <c r="A24" s="2">
        <v>2018</v>
      </c>
      <c r="B24" s="3">
        <f>B9/$G9*100</f>
        <v>2761.4231897330287</v>
      </c>
    </row>
    <row r="25" spans="1:2" x14ac:dyDescent="0.3">
      <c r="A25" s="2">
        <v>2019</v>
      </c>
      <c r="B25" s="3">
        <f>B10/$G10*100</f>
        <v>2820.8110000000001</v>
      </c>
    </row>
    <row r="26" spans="1:2" x14ac:dyDescent="0.3">
      <c r="A26" s="2">
        <v>2020</v>
      </c>
      <c r="B26" s="3">
        <f>B11/$G11*100</f>
        <v>2550.9802358196334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Sergio Cuadros</cp:lastModifiedBy>
  <dcterms:created xsi:type="dcterms:W3CDTF">2025-11-20T13:41:27Z</dcterms:created>
  <dcterms:modified xsi:type="dcterms:W3CDTF">2025-11-21T22:57:46Z</dcterms:modified>
  <cp:category/>
</cp:coreProperties>
</file>