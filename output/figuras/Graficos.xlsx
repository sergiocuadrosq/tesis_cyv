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esis_cyv\output\figuras\"/>
    </mc:Choice>
  </mc:AlternateContent>
  <xr:revisionPtr revIDLastSave="0" documentId="13_ncr:1_{8148E7B7-51B5-4DC0-9A42-79C80917F8A8}" xr6:coauthVersionLast="47" xr6:coauthVersionMax="47" xr10:uidLastSave="{00000000-0000-0000-0000-000000000000}"/>
  <bookViews>
    <workbookView xWindow="-108" yWindow="-108" windowWidth="23256" windowHeight="13896" firstSheet="5" activeTab="12" xr2:uid="{94569335-B840-47F0-B732-A995176DD1E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definedNames>
    <definedName name="_xlnm._FilterDatabase" localSheetId="0" hidden="1">Sheet1!$A$1:$B$16</definedName>
    <definedName name="_xlnm._FilterDatabase" localSheetId="1" hidden="1">Sheet2!$A$1:$B$11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" i="13" l="1"/>
  <c r="M43" i="13"/>
  <c r="N43" i="13"/>
  <c r="O43" i="13"/>
  <c r="L44" i="13"/>
  <c r="M44" i="13"/>
  <c r="N44" i="13"/>
  <c r="O44" i="13"/>
  <c r="K44" i="13"/>
  <c r="K43" i="13"/>
  <c r="L39" i="13"/>
  <c r="M39" i="13"/>
  <c r="N39" i="13"/>
  <c r="O39" i="13"/>
  <c r="K39" i="13"/>
  <c r="J36" i="13" a="1"/>
  <c r="J36" i="13" s="1"/>
  <c r="L30" i="13"/>
  <c r="L31" i="13"/>
  <c r="L32" i="13"/>
  <c r="L33" i="13"/>
  <c r="L34" i="13"/>
  <c r="K34" i="13"/>
  <c r="K33" i="13"/>
  <c r="K32" i="13"/>
  <c r="K31" i="13"/>
  <c r="K30" i="13"/>
  <c r="J35" i="12"/>
  <c r="K35" i="12"/>
  <c r="L35" i="12"/>
  <c r="J36" i="12"/>
  <c r="K36" i="12"/>
  <c r="L36" i="12"/>
  <c r="I36" i="12"/>
  <c r="I35" i="12"/>
  <c r="J30" i="12"/>
  <c r="K30" i="12"/>
  <c r="L30" i="12"/>
  <c r="I30" i="12"/>
  <c r="H27" i="12" a="1"/>
  <c r="H27" i="12" s="1"/>
  <c r="P10" i="9"/>
  <c r="Q10" i="9"/>
  <c r="R10" i="9"/>
  <c r="P11" i="9"/>
  <c r="Q11" i="9"/>
  <c r="R11" i="9"/>
  <c r="O11" i="9"/>
  <c r="O10" i="9"/>
  <c r="H31" i="8"/>
  <c r="I31" i="8"/>
  <c r="J31" i="8"/>
  <c r="K31" i="8"/>
  <c r="H32" i="8"/>
  <c r="I32" i="8"/>
  <c r="J32" i="8"/>
  <c r="K32" i="8"/>
  <c r="G32" i="8"/>
  <c r="G31" i="8"/>
  <c r="R7" i="9"/>
  <c r="P7" i="9"/>
  <c r="Q7" i="9"/>
  <c r="O7" i="9"/>
  <c r="N4" i="9" a="1"/>
  <c r="N4" i="9" s="1"/>
  <c r="H28" i="8"/>
  <c r="I28" i="8"/>
  <c r="J28" i="8"/>
  <c r="K28" i="8"/>
  <c r="G28" i="8"/>
  <c r="F25" i="8" a="1"/>
  <c r="F25" i="8" s="1"/>
  <c r="C4" i="7"/>
  <c r="C5" i="7"/>
  <c r="C3" i="7"/>
  <c r="B6" i="7"/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<sst xmlns="http://schemas.openxmlformats.org/spreadsheetml/2006/main" count="149" uniqueCount="82">
  <si>
    <t>Puntaje de importancia</t>
  </si>
  <si>
    <t>Variable</t>
  </si>
  <si>
    <t>Categoría: trabajador independiente</t>
  </si>
  <si>
    <t>Categoría: contrato a plazo fijo</t>
  </si>
  <si>
    <t>Categoría: sin contrato</t>
  </si>
  <si>
    <t>Categoría: Seguro SIS</t>
  </si>
  <si>
    <t>Categoría: Uso de internet</t>
  </si>
  <si>
    <t>Categoía: Secundaria Completa</t>
  </si>
  <si>
    <t>Categoría: Superior Univ. Completa</t>
  </si>
  <si>
    <t>Categoría: Superior Univ. Incompleta</t>
  </si>
  <si>
    <t>Categoría: Superior No Univ. Incompleta</t>
  </si>
  <si>
    <t>Categoría: Primaria Completa</t>
  </si>
  <si>
    <t>Categoría: Superior No Univ. Completa</t>
  </si>
  <si>
    <t>Categoría: no padece enfermedad</t>
  </si>
  <si>
    <t>Categoría: contrato por locación de servicios</t>
  </si>
  <si>
    <t>Categoría: sector CIIU - Construcción</t>
  </si>
  <si>
    <t>Categoría: ocupación - Operadores / Conductores</t>
  </si>
  <si>
    <t>Año</t>
  </si>
  <si>
    <t>Ingresos</t>
  </si>
  <si>
    <t>Caliper 1.5</t>
  </si>
  <si>
    <t>Caliper 2</t>
  </si>
  <si>
    <t>Ingresos (rural)</t>
  </si>
  <si>
    <t>Ingresos (urbano)</t>
  </si>
  <si>
    <t>Línea de pobreza</t>
  </si>
  <si>
    <t>Línea de vuln. a pobreza</t>
  </si>
  <si>
    <t>Línea de vuln. a informalidad</t>
  </si>
  <si>
    <t>Ingresos promedios (sector formal)</t>
  </si>
  <si>
    <t>Costa</t>
  </si>
  <si>
    <t>Sierra</t>
  </si>
  <si>
    <t>Selva</t>
  </si>
  <si>
    <t>Costa (nominal)</t>
  </si>
  <si>
    <t>Sierra (nominal)</t>
  </si>
  <si>
    <t>Selva (nominal)</t>
  </si>
  <si>
    <t>Ingresos (Lima y Callao)</t>
  </si>
  <si>
    <t>Población formal vulnerable</t>
  </si>
  <si>
    <t>Población formal no vulnerable</t>
  </si>
  <si>
    <t>Población informal</t>
  </si>
  <si>
    <t>No Vulnerables</t>
  </si>
  <si>
    <t>Vulnerables</t>
  </si>
  <si>
    <t>Hasta 20 personas</t>
  </si>
  <si>
    <t>De 21 a 50 personas</t>
  </si>
  <si>
    <t>De 51 a 100 personas</t>
  </si>
  <si>
    <t>De 101 a 500 personas</t>
  </si>
  <si>
    <t>Más de 500 personas</t>
  </si>
  <si>
    <t xml:space="preserve">Número de trabajadores </t>
  </si>
  <si>
    <t>Empleador o patrono</t>
  </si>
  <si>
    <t>Trabajador independiente</t>
  </si>
  <si>
    <t>Obrero</t>
  </si>
  <si>
    <t>Empleado</t>
  </si>
  <si>
    <t>Contrato indefinido</t>
  </si>
  <si>
    <t>Contrato a plazo fijo</t>
  </si>
  <si>
    <t>Sin contrato</t>
  </si>
  <si>
    <t>Otros tipo de contrato</t>
  </si>
  <si>
    <t>Masculino</t>
  </si>
  <si>
    <t>Femenino</t>
  </si>
  <si>
    <t>14-24</t>
  </si>
  <si>
    <t>25-44</t>
  </si>
  <si>
    <t>45-64</t>
  </si>
  <si>
    <t>65+</t>
  </si>
  <si>
    <t>No vulnerables</t>
  </si>
  <si>
    <t>Primaria</t>
  </si>
  <si>
    <t>Secundaria</t>
  </si>
  <si>
    <t>Superior no universitaria</t>
  </si>
  <si>
    <t>Superior universitaria</t>
  </si>
  <si>
    <t>Sin nivel o inicial</t>
  </si>
  <si>
    <t>Categoría de trabajador</t>
  </si>
  <si>
    <t xml:space="preserve">  14-24    </t>
  </si>
  <si>
    <t xml:space="preserve">  25-44    </t>
  </si>
  <si>
    <t xml:space="preserve">  45-64    </t>
  </si>
  <si>
    <t xml:space="preserve">  65+      </t>
  </si>
  <si>
    <t>Grupo de edad</t>
  </si>
  <si>
    <t>Sin nivel</t>
  </si>
  <si>
    <t>Primaria incompleta</t>
  </si>
  <si>
    <t>Primaria completa</t>
  </si>
  <si>
    <t>Secundaria incompleta</t>
  </si>
  <si>
    <t>Secundaria completa</t>
  </si>
  <si>
    <t>Superior no universitaria incompleta</t>
  </si>
  <si>
    <t>Superior no universitaria completa</t>
  </si>
  <si>
    <t>Superior universitaria incompleta</t>
  </si>
  <si>
    <t>Superior universitaria completa</t>
  </si>
  <si>
    <t>Maestria/Doctorado</t>
  </si>
  <si>
    <t>Nivel de educación alcanzado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</si>
</sst>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00"/>
    <numFmt numFmtId="165" formatCode="0.0"/>
    <numFmt numFmtId="166" formatCode="0.0%"/>
    <numFmt numFmtId="167" formatCode="_(* #,##0_);_(* \(#,##0\);_(* &quot;-&quot;??_);_(@_)"/>
    <numFmt numFmtId="168" formatCode="0.000000000000000%"/>
    <numFmt numFmtId="169" formatCode="#,##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1" applyNumberFormat="1" applyFont="1"/>
    <xf numFmtId="167" fontId="0" fillId="0" borderId="0" xfId="2" applyNumberFormat="1" applyFont="1"/>
    <xf numFmtId="167" fontId="0" fillId="0" borderId="0" xfId="0" applyNumberFormat="1"/>
    <xf numFmtId="3" fontId="0" fillId="0" borderId="0" xfId="0" applyNumberFormat="1"/>
    <xf numFmtId="9" fontId="0" fillId="0" borderId="0" xfId="1" applyFont="1"/>
    <xf numFmtId="4" fontId="0" fillId="0" borderId="0" xfId="0" applyNumberFormat="1"/>
    <xf numFmtId="166" fontId="0" fillId="0" borderId="0" xfId="0" applyNumberFormat="1"/>
    <xf numFmtId="168" fontId="0" fillId="0" borderId="0" xfId="0" applyNumberFormat="1"/>
    <xf numFmtId="4" fontId="0" fillId="0" borderId="0" xfId="1" applyNumberFormat="1" applyFont="1"/>
    <xf numFmtId="169" fontId="0" fillId="0" borderId="0" xfId="1" applyNumberFormat="1" applyFont="1"/>
    <xf numFmtId="3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Puntaje de importancia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Sheet1!$A$2:$A$16</c:f>
              <c:strCache>
                <c:ptCount val="15"/>
                <c:pt idx="0">
                  <c:v>Categoría: trabajador independiente</c:v>
                </c:pt>
                <c:pt idx="1">
                  <c:v>Categoría: contrato a plazo fijo</c:v>
                </c:pt>
                <c:pt idx="2">
                  <c:v>Categoría: sin contrato</c:v>
                </c:pt>
                <c:pt idx="3">
                  <c:v>Categoría: Seguro SIS</c:v>
                </c:pt>
                <c:pt idx="4">
                  <c:v>Categoría: Uso de internet</c:v>
                </c:pt>
                <c:pt idx="5">
                  <c:v>Categoría: ocupación - Operadores / Conductores</c:v>
                </c:pt>
                <c:pt idx="6">
                  <c:v>Categoía: Secundaria Completa</c:v>
                </c:pt>
                <c:pt idx="7">
                  <c:v>Categoría: sector CIIU - Construcción</c:v>
                </c:pt>
                <c:pt idx="8">
                  <c:v>Categoría: Superior No Univ. Incompleta</c:v>
                </c:pt>
                <c:pt idx="9">
                  <c:v>Categoría: Superior Univ. Incompleta</c:v>
                </c:pt>
                <c:pt idx="10">
                  <c:v>Categoría: Superior Univ. Completa</c:v>
                </c:pt>
                <c:pt idx="11">
                  <c:v>Categoría: contrato por locación de servicios</c:v>
                </c:pt>
                <c:pt idx="12">
                  <c:v>Categoría: no padece enfermedad</c:v>
                </c:pt>
                <c:pt idx="13">
                  <c:v>Categoría: Primaria Completa</c:v>
                </c:pt>
                <c:pt idx="14">
                  <c:v>Categoría: Superior No Univ. Completa</c:v>
                </c:pt>
              </c:strCache>
            </c:strRef>
          </c:cat>
          <c:val>
            <c:numRef>
              <c:f>Sheet1!$B$2:$B$16</c:f>
              <c:numCache>
                <c:formatCode>0.000000</c:formatCode>
                <c:ptCount val="15"/>
                <c:pt idx="0">
                  <c:v>7.1282769999999995E-2</c:v>
                </c:pt>
                <c:pt idx="1">
                  <c:v>6.0418658E-2</c:v>
                </c:pt>
                <c:pt idx="2">
                  <c:v>3.0979902E-2</c:v>
                </c:pt>
                <c:pt idx="3">
                  <c:v>2.5096215000000002E-2</c:v>
                </c:pt>
                <c:pt idx="4">
                  <c:v>2.4943875000000001E-2</c:v>
                </c:pt>
                <c:pt idx="5">
                  <c:v>2.3690635000000002E-2</c:v>
                </c:pt>
                <c:pt idx="6">
                  <c:v>2.0998735000000001E-2</c:v>
                </c:pt>
                <c:pt idx="7">
                  <c:v>2.0764528000000001E-2</c:v>
                </c:pt>
                <c:pt idx="8">
                  <c:v>1.8924699999999999E-2</c:v>
                </c:pt>
                <c:pt idx="9">
                  <c:v>1.7316682E-2</c:v>
                </c:pt>
                <c:pt idx="10">
                  <c:v>1.7025212000000001E-2</c:v>
                </c:pt>
                <c:pt idx="11">
                  <c:v>1.6744904000000001E-2</c:v>
                </c:pt>
                <c:pt idx="12">
                  <c:v>1.5606221E-2</c:v>
                </c:pt>
                <c:pt idx="13">
                  <c:v>1.5572188000000001E-2</c:v>
                </c:pt>
                <c:pt idx="14">
                  <c:v>1.5401339999999999E-2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4-4E0F-A588-C122BD59E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84658319"/>
        <c:axId val="1984641999"/>
      </c:barChart>
      <c:catAx>
        <c:axId val="19846583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641999"/>
        <c:crosses val="autoZero"/>
        <c:auto val="1"/>
        <c:lblAlgn val="ctr"/>
        <c:lblOffset val="100"/>
        <c:noMultiLvlLbl val="0"/>
      </c:catAx>
      <c:valAx>
        <c:axId val="1984641999"/>
        <c:scaling>
          <c:orientation val="minMax"/>
          <c:max val="7.5000000000000011E-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658319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76334261376496E-2"/>
          <c:y val="4.2487446890691387E-2"/>
          <c:w val="0.89682232916511195"/>
          <c:h val="0.86821835567193728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Línea de vuln. a informalidad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Sheet2!$A$2:$A$11</c15:sqref>
                  </c15:fullRef>
                </c:ext>
              </c:extLst>
              <c:f>Sheet2!$A$3:$A$11</c:f>
              <c:numCache>
                <c:formatCode>General</c:formatCod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Sheet2!$B$2:$B$11</c15:sqref>
                  </c15:fullRef>
                </c:ext>
              </c:extLst>
              <c:f>Sheet2!$B$3:$B$11</c:f>
              <c:numCache>
                <c:formatCode>0.0</c:formatCode>
                <c:ptCount val="9"/>
                <c:pt idx="0">
                  <c:v>2372.6797907443192</c:v>
                </c:pt>
                <c:pt idx="1">
                  <c:v>2283.4462680474539</c:v>
                </c:pt>
                <c:pt idx="2">
                  <c:v>2167.6857570213706</c:v>
                </c:pt>
                <c:pt idx="3">
                  <c:v>2062.2078801899984</c:v>
                </c:pt>
                <c:pt idx="4">
                  <c:v>2144.9469830583234</c:v>
                </c:pt>
                <c:pt idx="5">
                  <c:v>2072.8500113733639</c:v>
                </c:pt>
                <c:pt idx="6">
                  <c:v>2117.9495864335126</c:v>
                </c:pt>
                <c:pt idx="7">
                  <c:v>2114.5619999999999</c:v>
                </c:pt>
                <c:pt idx="8">
                  <c:v>2013.1047679068513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2-4C1A-9A04-8BA13429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832415"/>
        <c:axId val="2084826175"/>
      </c:lineChart>
      <c:catAx>
        <c:axId val="208483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26175"/>
        <c:crosses val="autoZero"/>
        <c:auto val="1"/>
        <c:lblAlgn val="ctr"/>
        <c:lblOffset val="100"/>
        <c:noMultiLvlLbl val="0"/>
      </c:catAx>
      <c:valAx>
        <c:axId val="2084826175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3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1471937911281E-2"/>
          <c:y val="4.8359240069084632E-2"/>
          <c:w val="0.90428262959959205"/>
          <c:h val="0.80313165517522744"/>
        </c:manualLayout>
      </c:layout>
      <c:lineChart>
        <c:grouping val="standard"/>
        <c:varyColors val="0"/>
        <c:ser>
          <c:idx val="1"/>
          <c:order val="1"/>
          <c:tx>
            <c:strRef>
              <c:f>Sheet3!$B$1</c:f>
              <c:strCache>
                <c:ptCount val="1"/>
                <c:pt idx="0">
                  <c:v>Ingresos (rural)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9713168187751E-2"/>
                      <c:h val="4.8307562590945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5B2-443B-B612-1A9F955631A7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9713168187751E-2"/>
                      <c:h val="4.8307562590945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5B2-443B-B612-1A9F955631A7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9713168187751E-2"/>
                      <c:h val="4.8307562590945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5B2-443B-B612-1A9F955631A7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9713168187751E-2"/>
                      <c:h val="4.8307562590945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5B2-443B-B612-1A9F955631A7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9713168187751E-2"/>
                      <c:h val="4.8307562590945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5B2-443B-B612-1A9F955631A7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9713168187751E-2"/>
                      <c:h val="4.8307562590945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5B2-443B-B612-1A9F955631A7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9713168187751E-2"/>
                      <c:h val="4.8307562590945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5B2-443B-B612-1A9F955631A7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9713168187751E-2"/>
                      <c:h val="4.8307562590945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5B2-443B-B612-1A9F955631A7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9713168187751E-2"/>
                      <c:h val="4.8307562590945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5B2-443B-B612-1A9F955631A7}"/>
                </c:ext>
              </c:extLst>
            </c:dLbl>
            <c:dLbl>
              <c:idx val="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9713168187751E-2"/>
                      <c:h val="4.8307562590945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5B2-443B-B612-1A9F955631A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Sheet3!$A$2:$A$11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Sheet3!$B$2:$B$11</c:f>
              <c:numCache>
                <c:formatCode>General</c:formatCode>
                <c:ptCount val="10"/>
                <c:pt idx="0">
                  <c:v>1895.7104687512888</c:v>
                </c:pt>
                <c:pt idx="1">
                  <c:v>1720.6018985242338</c:v>
                </c:pt>
                <c:pt idx="2">
                  <c:v>1726.219246562323</c:v>
                </c:pt>
                <c:pt idx="3">
                  <c:v>1752.0314013542236</c:v>
                </c:pt>
                <c:pt idx="4">
                  <c:v>1607.3065190856134</c:v>
                </c:pt>
                <c:pt idx="5">
                  <c:v>1682.9123636295481</c:v>
                </c:pt>
                <c:pt idx="6">
                  <c:v>1637.309448863462</c:v>
                </c:pt>
                <c:pt idx="7">
                  <c:v>1856.0133630274443</c:v>
                </c:pt>
                <c:pt idx="8">
                  <c:v>2040.4849999999999</c:v>
                </c:pt>
                <c:pt idx="9">
                  <c:v>1954.1736163819332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B6-4BF6-B154-9B1DE34CB349}"/>
            </c:ext>
          </c:extLst>
        </c:ser>
        <c:ser>
          <c:idx val="2"/>
          <c:order val="2"/>
          <c:tx>
            <c:strRef>
              <c:f>Sheet3!$C$1</c:f>
              <c:strCache>
                <c:ptCount val="1"/>
                <c:pt idx="0">
                  <c:v>Ingresos (urbano)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Sheet3!$A$2:$A$11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Sheet3!$C$2:$C$11</c:f>
              <c:numCache>
                <c:formatCode>General</c:formatCode>
                <c:ptCount val="10"/>
                <c:pt idx="0">
                  <c:v>2097.0357614235418</c:v>
                </c:pt>
                <c:pt idx="1">
                  <c:v>2387.3217719752365</c:v>
                </c:pt>
                <c:pt idx="2">
                  <c:v>2300.5969721292681</c:v>
                </c:pt>
                <c:pt idx="3">
                  <c:v>2180.7274997297709</c:v>
                </c:pt>
                <c:pt idx="4">
                  <c:v>2080.412434306274</c:v>
                </c:pt>
                <c:pt idx="5">
                  <c:v>2158.4232610787049</c:v>
                </c:pt>
                <c:pt idx="6">
                  <c:v>2088.1181787270702</c:v>
                </c:pt>
                <c:pt idx="7">
                  <c:v>2125.4667561893075</c:v>
                </c:pt>
                <c:pt idx="8">
                  <c:v>2117.7240000000002</c:v>
                </c:pt>
                <c:pt idx="9">
                  <c:v>2014.9022984547457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B6-4BF6-B154-9B1DE34CB349}"/>
            </c:ext>
          </c:extLst>
        </c:ser>
        <c:ser>
          <c:idx val="3"/>
          <c:order val="3"/>
          <c:tx>
            <c:strRef>
              <c:f>Sheet3!$D$1</c:f>
              <c:strCache>
                <c:ptCount val="1"/>
                <c:pt idx="0">
                  <c:v>Ingresos (Lima y Callao)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Sheet3!$D$2:$D$11</c:f>
              <c:numCache>
                <c:formatCode>General</c:formatCode>
                <c:ptCount val="10"/>
                <c:pt idx="0">
                  <c:v>2629.6822224022153</c:v>
                </c:pt>
                <c:pt idx="1">
                  <c:v>2763.1406761350377</c:v>
                </c:pt>
                <c:pt idx="2">
                  <c:v>2657.4784049810414</c:v>
                </c:pt>
                <c:pt idx="3">
                  <c:v>2694.616984899104</c:v>
                </c:pt>
                <c:pt idx="4">
                  <c:v>2768.4456350006349</c:v>
                </c:pt>
                <c:pt idx="5">
                  <c:v>2772.1148276820918</c:v>
                </c:pt>
                <c:pt idx="6">
                  <c:v>2777.054919874362</c:v>
                </c:pt>
                <c:pt idx="7">
                  <c:v>2761.4231897330287</c:v>
                </c:pt>
                <c:pt idx="8">
                  <c:v>2820.8110000000001</c:v>
                </c:pt>
                <c:pt idx="9">
                  <c:v>2550.9802358196334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B2-443B-B612-1A9F955631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3937728"/>
        <c:axId val="2939396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Sheet3!$A$1</c15:sqref>
                        </c15:formulaRef>
                      </c:ext>
                    </c:extLst>
                    <c:strCache>
                      <c:ptCount val="1"/>
                      <c:pt idx="0">
                        <c:v>Año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Sheet3!$A$2:$A$11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Sheet3!$A$2:$A$11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9B6-4BF6-B154-9B1DE34CB349}"/>
                  </c:ext>
                </c:extLst>
              </c15:ser>
            </c15:filteredLineSeries>
          </c:ext>
        </c:extLst>
      </c:lineChart>
      <c:catAx>
        <c:axId val="29393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39648"/>
        <c:crosses val="autoZero"/>
        <c:auto val="1"/>
        <c:lblAlgn val="ctr"/>
        <c:lblOffset val="100"/>
        <c:noMultiLvlLbl val="0"/>
      </c:catAx>
      <c:valAx>
        <c:axId val="293939648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3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22983502551097"/>
          <c:y val="0.55073341220948424"/>
          <c:w val="0.25134860912920437"/>
          <c:h val="0.17487169026151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76334261376496E-2"/>
          <c:y val="4.2487446890691387E-2"/>
          <c:w val="0.89682232916511195"/>
          <c:h val="0.86821835567193728"/>
        </c:manualLayout>
      </c:layout>
      <c:lineChart>
        <c:grouping val="standard"/>
        <c:varyColors val="0"/>
        <c:ser>
          <c:idx val="1"/>
          <c:order val="0"/>
          <c:tx>
            <c:strRef>
              <c:f>Sheet4!$B$1</c:f>
              <c:strCache>
                <c:ptCount val="1"/>
                <c:pt idx="0">
                  <c:v>Ingresos promedios (sector formal)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Sheet4!$A$2:$A$11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Sheet4!$B$2:$B$11</c:f>
              <c:numCache>
                <c:formatCode>0.0</c:formatCode>
                <c:ptCount val="10"/>
                <c:pt idx="0">
                  <c:v>2420.8742161103123</c:v>
                </c:pt>
                <c:pt idx="1">
                  <c:v>2567.4065454201036</c:v>
                </c:pt>
                <c:pt idx="2">
                  <c:v>2511.3410191429393</c:v>
                </c:pt>
                <c:pt idx="3">
                  <c:v>2526.92638456859</c:v>
                </c:pt>
                <c:pt idx="4">
                  <c:v>2545.9972294197555</c:v>
                </c:pt>
                <c:pt idx="5">
                  <c:v>2536.9043234477722</c:v>
                </c:pt>
                <c:pt idx="6">
                  <c:v>2539.4861096457144</c:v>
                </c:pt>
                <c:pt idx="7">
                  <c:v>2549.7634525112035</c:v>
                </c:pt>
                <c:pt idx="8">
                  <c:v>2575.44</c:v>
                </c:pt>
                <c:pt idx="9">
                  <c:v>2330.4086259153064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A1-4CF6-962E-4913658C3DCB}"/>
            </c:ext>
          </c:extLst>
        </c:ser>
        <c:ser>
          <c:idx val="2"/>
          <c:order val="1"/>
          <c:tx>
            <c:strRef>
              <c:f>Sheet4!$C$1</c:f>
              <c:strCache>
                <c:ptCount val="1"/>
                <c:pt idx="0">
                  <c:v>Línea de vuln. a informalidad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Sheet4!$C$2:$C$11</c:f>
              <c:numCache>
                <c:formatCode>0.0</c:formatCode>
                <c:ptCount val="10"/>
                <c:pt idx="0">
                  <c:v>2092.0489388587976</c:v>
                </c:pt>
                <c:pt idx="1">
                  <c:v>2372.6797907443192</c:v>
                </c:pt>
                <c:pt idx="2">
                  <c:v>2283.4462680474539</c:v>
                </c:pt>
                <c:pt idx="3">
                  <c:v>2167.6857570213706</c:v>
                </c:pt>
                <c:pt idx="4">
                  <c:v>2062.2078801899984</c:v>
                </c:pt>
                <c:pt idx="5">
                  <c:v>2144.9469830583234</c:v>
                </c:pt>
                <c:pt idx="6">
                  <c:v>2072.8500113733639</c:v>
                </c:pt>
                <c:pt idx="7">
                  <c:v>2117.9495864335126</c:v>
                </c:pt>
                <c:pt idx="8">
                  <c:v>2114.5619999999999</c:v>
                </c:pt>
                <c:pt idx="9">
                  <c:v>2013.1047679068513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6A1-4CF6-962E-4913658C3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832415"/>
        <c:axId val="2084826175"/>
      </c:lineChart>
      <c:catAx>
        <c:axId val="208483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26175"/>
        <c:crosses val="autoZero"/>
        <c:auto val="1"/>
        <c:lblAlgn val="ctr"/>
        <c:lblOffset val="100"/>
        <c:noMultiLvlLbl val="0"/>
      </c:catAx>
      <c:valAx>
        <c:axId val="2084826175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3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76334261376496E-2"/>
          <c:y val="4.2487446890691387E-2"/>
          <c:w val="0.89682232916511195"/>
          <c:h val="0.86821835567193728"/>
        </c:manualLayout>
      </c:layout>
      <c:lineChart>
        <c:grouping val="standard"/>
        <c:varyColors val="0"/>
        <c:ser>
          <c:idx val="2"/>
          <c:order val="0"/>
          <c:tx>
            <c:strRef>
              <c:f>Sheet4!$C$1</c:f>
              <c:strCache>
                <c:ptCount val="1"/>
                <c:pt idx="0">
                  <c:v>Línea de vuln. a informalidad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Sheet5!$B$8:$B$17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Sheet4!$C$2:$C$11</c:f>
              <c:numCache>
                <c:formatCode>0.0</c:formatCode>
                <c:ptCount val="10"/>
                <c:pt idx="0">
                  <c:v>2092.0489388587976</c:v>
                </c:pt>
                <c:pt idx="1">
                  <c:v>2372.6797907443192</c:v>
                </c:pt>
                <c:pt idx="2">
                  <c:v>2283.4462680474539</c:v>
                </c:pt>
                <c:pt idx="3">
                  <c:v>2167.6857570213706</c:v>
                </c:pt>
                <c:pt idx="4">
                  <c:v>2062.2078801899984</c:v>
                </c:pt>
                <c:pt idx="5">
                  <c:v>2144.9469830583234</c:v>
                </c:pt>
                <c:pt idx="6">
                  <c:v>2072.8500113733639</c:v>
                </c:pt>
                <c:pt idx="7">
                  <c:v>2117.9495864335126</c:v>
                </c:pt>
                <c:pt idx="8">
                  <c:v>2114.5619999999999</c:v>
                </c:pt>
                <c:pt idx="9">
                  <c:v>2013.1047679068513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18-44F1-9153-E515560FA13B}"/>
            </c:ext>
          </c:extLst>
        </c:ser>
        <c:ser>
          <c:idx val="0"/>
          <c:order val="1"/>
          <c:tx>
            <c:strRef>
              <c:f>Sheet5!$C$7</c:f>
              <c:strCache>
                <c:ptCount val="1"/>
                <c:pt idx="0">
                  <c:v>Línea de vuln. a pobreza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Sheet5!$B$8:$B$17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Sheet5!$C$8:$C$16</c:f>
              <c:numCache>
                <c:formatCode>General</c:formatCode>
                <c:ptCount val="9"/>
                <c:pt idx="0">
                  <c:v>565.3881376239259</c:v>
                </c:pt>
                <c:pt idx="1">
                  <c:v>572.53746110004511</c:v>
                </c:pt>
                <c:pt idx="2">
                  <c:v>573.06015692745245</c:v>
                </c:pt>
                <c:pt idx="3">
                  <c:v>575.63867851103373</c:v>
                </c:pt>
                <c:pt idx="4">
                  <c:v>571.00361288928821</c:v>
                </c:pt>
                <c:pt idx="5">
                  <c:v>574.22223255951644</c:v>
                </c:pt>
                <c:pt idx="6">
                  <c:v>584.19328095956018</c:v>
                </c:pt>
                <c:pt idx="7">
                  <c:v>581.84952291701768</c:v>
                </c:pt>
                <c:pt idx="8">
                  <c:v>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18-44F1-9153-E515560FA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832415"/>
        <c:axId val="2084826175"/>
      </c:lineChart>
      <c:catAx>
        <c:axId val="208483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26175"/>
        <c:crosses val="autoZero"/>
        <c:auto val="1"/>
        <c:lblAlgn val="ctr"/>
        <c:lblOffset val="100"/>
        <c:noMultiLvlLbl val="0"/>
      </c:catAx>
      <c:valAx>
        <c:axId val="2084826175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3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1471937911281E-2"/>
          <c:y val="4.8359240069084632E-2"/>
          <c:w val="0.90428262959959205"/>
          <c:h val="0.80313165517522744"/>
        </c:manualLayout>
      </c:layout>
      <c:lineChart>
        <c:grouping val="standard"/>
        <c:varyColors val="0"/>
        <c:ser>
          <c:idx val="1"/>
          <c:order val="1"/>
          <c:tx>
            <c:strRef>
              <c:f>Sheet6!$C$2</c:f>
              <c:strCache>
                <c:ptCount val="1"/>
                <c:pt idx="0">
                  <c:v>Costa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Sheet6!$B$3:$B$12</c15:sqref>
                  </c15:fullRef>
                </c:ext>
              </c:extLst>
              <c:f>Sheet6!$B$4:$B$12</c:f>
              <c:numCache>
                <c:formatCode>General</c:formatCod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Sheet6!$C$3:$C$12</c15:sqref>
                  </c15:fullRef>
                </c:ext>
              </c:extLst>
              <c:f>Sheet6!$C$4:$C$12</c:f>
              <c:numCache>
                <c:formatCode>General</c:formatCode>
                <c:ptCount val="9"/>
                <c:pt idx="0">
                  <c:v>2264.2612465019583</c:v>
                </c:pt>
                <c:pt idx="1">
                  <c:v>2177.6309449315199</c:v>
                </c:pt>
                <c:pt idx="2">
                  <c:v>2138.140476152576</c:v>
                </c:pt>
                <c:pt idx="3">
                  <c:v>2015.0989924250807</c:v>
                </c:pt>
                <c:pt idx="4">
                  <c:v>2140.560094090461</c:v>
                </c:pt>
                <c:pt idx="5">
                  <c:v>2138.3410980628964</c:v>
                </c:pt>
                <c:pt idx="6">
                  <c:v>2089.085366492799</c:v>
                </c:pt>
                <c:pt idx="7">
                  <c:v>2104.98</c:v>
                </c:pt>
                <c:pt idx="8">
                  <c:v>1973.9758718940088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675-4222-8095-BB0E2A19D8C6}"/>
            </c:ext>
          </c:extLst>
        </c:ser>
        <c:ser>
          <c:idx val="2"/>
          <c:order val="2"/>
          <c:tx>
            <c:strRef>
              <c:f>Sheet6!$D$2</c:f>
              <c:strCache>
                <c:ptCount val="1"/>
                <c:pt idx="0">
                  <c:v>Sierra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Sheet6!$B$3:$B$12</c15:sqref>
                  </c15:fullRef>
                </c:ext>
              </c:extLst>
              <c:f>Sheet6!$B$4:$B$12</c:f>
              <c:numCache>
                <c:formatCode>General</c:formatCod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Sheet6!$D$3:$D$12</c15:sqref>
                  </c15:fullRef>
                </c:ext>
              </c:extLst>
              <c:f>Sheet6!$D$4:$D$12</c:f>
              <c:numCache>
                <c:formatCode>General</c:formatCode>
                <c:ptCount val="9"/>
                <c:pt idx="0">
                  <c:v>2827.8035884610499</c:v>
                </c:pt>
                <c:pt idx="1">
                  <c:v>2546.09923140707</c:v>
                </c:pt>
                <c:pt idx="2">
                  <c:v>2236.0968873222819</c:v>
                </c:pt>
                <c:pt idx="3">
                  <c:v>2055.2054580212457</c:v>
                </c:pt>
                <c:pt idx="4">
                  <c:v>2136.9997051374771</c:v>
                </c:pt>
                <c:pt idx="5">
                  <c:v>1631.7465959100111</c:v>
                </c:pt>
                <c:pt idx="6">
                  <c:v>2218.623819910978</c:v>
                </c:pt>
                <c:pt idx="7">
                  <c:v>2120.8969999999999</c:v>
                </c:pt>
                <c:pt idx="8">
                  <c:v>2120.5084439554353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675-4222-8095-BB0E2A19D8C6}"/>
            </c:ext>
          </c:extLst>
        </c:ser>
        <c:ser>
          <c:idx val="3"/>
          <c:order val="3"/>
          <c:tx>
            <c:strRef>
              <c:f>Sheet6!$E$2</c:f>
              <c:strCache>
                <c:ptCount val="1"/>
                <c:pt idx="0">
                  <c:v>Selva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Sheet6!$B$3:$B$12</c15:sqref>
                  </c15:fullRef>
                </c:ext>
              </c:extLst>
              <c:f>Sheet6!$B$4:$B$12</c:f>
              <c:numCache>
                <c:formatCode>General</c:formatCod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Sheet6!$E$3:$E$12</c15:sqref>
                  </c15:fullRef>
                </c:ext>
              </c:extLst>
              <c:f>Sheet6!$E$4:$E$12</c:f>
              <c:numCache>
                <c:formatCode>General</c:formatCode>
                <c:ptCount val="9"/>
                <c:pt idx="0">
                  <c:v>2968.2624885961113</c:v>
                </c:pt>
                <c:pt idx="1">
                  <c:v>2765.3628510406356</c:v>
                </c:pt>
                <c:pt idx="2">
                  <c:v>2311.3576628471355</c:v>
                </c:pt>
                <c:pt idx="3">
                  <c:v>2784.9382679797936</c:v>
                </c:pt>
                <c:pt idx="4">
                  <c:v>2203.8691507857225</c:v>
                </c:pt>
                <c:pt idx="5">
                  <c:v>2354.0448346368057</c:v>
                </c:pt>
                <c:pt idx="6">
                  <c:v>2228.5285088124729</c:v>
                </c:pt>
                <c:pt idx="7">
                  <c:v>2208.663</c:v>
                </c:pt>
                <c:pt idx="8">
                  <c:v>2396.3161180390907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675-4222-8095-BB0E2A19D8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3937728"/>
        <c:axId val="2939396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Sheet6!$B$2</c15:sqref>
                        </c15:formulaRef>
                      </c:ext>
                    </c:extLst>
                    <c:strCache>
                      <c:ptCount val="1"/>
                      <c:pt idx="0">
                        <c:v>Año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Sheet6!$B$3:$B$12</c15:sqref>
                        </c15:fullRef>
                        <c15:formulaRef>
                          <c15:sqref>Sheet6!$B$4:$B$12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2012</c:v>
                      </c:pt>
                      <c:pt idx="1">
                        <c:v>2013</c:v>
                      </c:pt>
                      <c:pt idx="2">
                        <c:v>2014</c:v>
                      </c:pt>
                      <c:pt idx="3">
                        <c:v>2015</c:v>
                      </c:pt>
                      <c:pt idx="4">
                        <c:v>2016</c:v>
                      </c:pt>
                      <c:pt idx="5">
                        <c:v>2017</c:v>
                      </c:pt>
                      <c:pt idx="6">
                        <c:v>2018</c:v>
                      </c:pt>
                      <c:pt idx="7">
                        <c:v>2019</c:v>
                      </c:pt>
                      <c:pt idx="8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Sheet6!$B$3:$B$12</c15:sqref>
                        </c15:fullRef>
                        <c15:formulaRef>
                          <c15:sqref>Sheet6!$B$4:$B$12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2012</c:v>
                      </c:pt>
                      <c:pt idx="1">
                        <c:v>2013</c:v>
                      </c:pt>
                      <c:pt idx="2">
                        <c:v>2014</c:v>
                      </c:pt>
                      <c:pt idx="3">
                        <c:v>2015</c:v>
                      </c:pt>
                      <c:pt idx="4">
                        <c:v>2016</c:v>
                      </c:pt>
                      <c:pt idx="5">
                        <c:v>2017</c:v>
                      </c:pt>
                      <c:pt idx="6">
                        <c:v>2018</c:v>
                      </c:pt>
                      <c:pt idx="7">
                        <c:v>2019</c:v>
                      </c:pt>
                      <c:pt idx="8">
                        <c:v>2020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C675-4222-8095-BB0E2A19D8C6}"/>
                  </c:ext>
                </c:extLst>
              </c15:ser>
            </c15:filteredLineSeries>
          </c:ext>
        </c:extLst>
      </c:lineChart>
      <c:catAx>
        <c:axId val="29393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39648"/>
        <c:crosses val="autoZero"/>
        <c:auto val="1"/>
        <c:lblAlgn val="ctr"/>
        <c:lblOffset val="100"/>
        <c:noMultiLvlLbl val="0"/>
      </c:catAx>
      <c:valAx>
        <c:axId val="2939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3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2B-48DA-8158-1AAF9B4E12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2B-48DA-8158-1AAF9B4E12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2B-48DA-8158-1AAF9B4E12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Sheet7!$A$3:$A$5</c:f>
              <c:strCache>
                <c:ptCount val="3"/>
                <c:pt idx="0">
                  <c:v>Población formal vulnerable</c:v>
                </c:pt>
                <c:pt idx="1">
                  <c:v>Población formal no vulnerable</c:v>
                </c:pt>
                <c:pt idx="2">
                  <c:v>Población informal</c:v>
                </c:pt>
              </c:strCache>
            </c:strRef>
          </c:cat>
          <c:val>
            <c:numRef>
              <c:f>Sheet7!$B$3:$B$5</c:f>
              <c:numCache>
                <c:formatCode>_(* #,##0_);_(* \(#,##0\);_(* "-"??_);_(@_)</c:formatCode>
                <c:ptCount val="3"/>
                <c:pt idx="0">
                  <c:v>2232972.2000000002</c:v>
                </c:pt>
                <c:pt idx="1">
                  <c:v>2266602.7999999998</c:v>
                </c:pt>
                <c:pt idx="2">
                  <c:v>10686284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3-467F-B134-8E01F23A1B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Sheet8!$C$3</c:f>
              <c:strCache>
                <c:ptCount val="1"/>
                <c:pt idx="0">
                  <c:v>No Vulnerables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Sheet8!$B$4:$B$8</c:f>
              <c:strCache>
                <c:ptCount val="5"/>
                <c:pt idx="0">
                  <c:v>Hasta 20 personas</c:v>
                </c:pt>
                <c:pt idx="1">
                  <c:v>De 21 a 50 personas</c:v>
                </c:pt>
                <c:pt idx="2">
                  <c:v>De 51 a 100 personas</c:v>
                </c:pt>
                <c:pt idx="3">
                  <c:v>De 101 a 500 personas</c:v>
                </c:pt>
                <c:pt idx="4">
                  <c:v>Más de 500 personas</c:v>
                </c:pt>
              </c:strCache>
            </c:strRef>
          </c:cat>
          <c:val>
            <c:numRef>
              <c:f>Sheet8!$C$4:$C$8</c:f>
              <c:numCache>
                <c:formatCode>0.0%</c:formatCode>
                <c:ptCount val="5"/>
                <c:pt idx="0">
                  <c:v>0.26066949557090308</c:v>
                </c:pt>
                <c:pt idx="1">
                  <c:v>5.7151630502399631E-2</c:v>
                </c:pt>
                <c:pt idx="2">
                  <c:v>4.8612857484463527E-2</c:v>
                </c:pt>
                <c:pt idx="3">
                  <c:v>0.10199011560035684</c:v>
                </c:pt>
                <c:pt idx="4">
                  <c:v>0.531575900841877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6-4B82-A06C-061AEFCB8EE8}"/>
            </c:ext>
          </c:extLst>
        </c:ser>
        <c:ser>
          <c:idx val="1"/>
          <c:order val="1"/>
          <c:tx>
            <c:strRef>
              <c:f>Sheet8!$D$3</c:f>
              <c:strCache>
                <c:ptCount val="1"/>
                <c:pt idx="0">
                  <c:v>Vulnerables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Sheet8!$B$4:$B$8</c:f>
              <c:strCache>
                <c:ptCount val="5"/>
                <c:pt idx="0">
                  <c:v>Hasta 20 personas</c:v>
                </c:pt>
                <c:pt idx="1">
                  <c:v>De 21 a 50 personas</c:v>
                </c:pt>
                <c:pt idx="2">
                  <c:v>De 51 a 100 personas</c:v>
                </c:pt>
                <c:pt idx="3">
                  <c:v>De 101 a 500 personas</c:v>
                </c:pt>
                <c:pt idx="4">
                  <c:v>Más de 500 personas</c:v>
                </c:pt>
              </c:strCache>
            </c:strRef>
          </c:cat>
          <c:val>
            <c:numRef>
              <c:f>Sheet8!$D$4:$D$8</c:f>
              <c:numCache>
                <c:formatCode>0%</c:formatCode>
                <c:ptCount val="5"/>
                <c:pt idx="0">
                  <c:v>0.41604552139480477</c:v>
                </c:pt>
                <c:pt idx="1">
                  <c:v>7.6049319024152559E-2</c:v>
                </c:pt>
                <c:pt idx="2">
                  <c:v>6.1475020734697974E-2</c:v>
                </c:pt>
                <c:pt idx="3">
                  <c:v>0.11287691919110494</c:v>
                </c:pt>
                <c:pt idx="4">
                  <c:v>0.33355321965523976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6-4B82-A06C-061AEFCB8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55269360"/>
        <c:axId val="755272240"/>
      </c:barChart>
      <c:catAx>
        <c:axId val="75526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72240"/>
        <c:crosses val="autoZero"/>
        <c:auto val="1"/>
        <c:lblAlgn val="ctr"/>
        <c:lblOffset val="100"/>
        <c:noMultiLvlLbl val="0"/>
      </c:catAx>
      <c:valAx>
        <c:axId val="75527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6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Sheet8!$F$32</c:f>
              <c:strCache>
                <c:ptCount val="1"/>
                <c:pt idx="0">
                  <c:v>Vulnerables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Sheet8!$G$30:$K$30</c:f>
              <c:strCache>
                <c:ptCount val="5"/>
                <c:pt idx="0">
                  <c:v>Hasta 20 personas</c:v>
                </c:pt>
                <c:pt idx="1">
                  <c:v>De 21 a 50 personas</c:v>
                </c:pt>
                <c:pt idx="2">
                  <c:v>De 51 a 100 personas</c:v>
                </c:pt>
                <c:pt idx="3">
                  <c:v>De 101 a 500 personas</c:v>
                </c:pt>
                <c:pt idx="4">
                  <c:v>Más de 500 personas</c:v>
                </c:pt>
              </c:strCache>
            </c:strRef>
          </c:cat>
          <c:val>
            <c:numRef>
              <c:f>Sheet8!$G$32:$K$32</c:f>
              <c:numCache>
                <c:formatCode>0%</c:formatCode>
                <c:ptCount val="5"/>
                <c:pt idx="0">
                  <c:v>0.6112555696212526</c:v>
                </c:pt>
                <c:pt idx="1">
                  <c:v>0.56727107524151843</c:v>
                </c:pt>
                <c:pt idx="2">
                  <c:v>0.55472847917626422</c:v>
                </c:pt>
                <c:pt idx="3">
                  <c:v>0.52160497659460869</c:v>
                </c:pt>
                <c:pt idx="4">
                  <c:v>0.38201792493765663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9-4229-994A-10648F9D0AFF}"/>
            </c:ext>
          </c:extLst>
        </c:ser>
        <c:ser>
          <c:idx val="0"/>
          <c:order val="1"/>
          <c:tx>
            <c:strRef>
              <c:f>Sheet8!$F$31</c:f>
              <c:strCache>
                <c:ptCount val="1"/>
                <c:pt idx="0">
                  <c:v>No Vulnerables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Sheet8!$G$30:$K$30</c:f>
              <c:strCache>
                <c:ptCount val="5"/>
                <c:pt idx="0">
                  <c:v>Hasta 20 personas</c:v>
                </c:pt>
                <c:pt idx="1">
                  <c:v>De 21 a 50 personas</c:v>
                </c:pt>
                <c:pt idx="2">
                  <c:v>De 51 a 100 personas</c:v>
                </c:pt>
                <c:pt idx="3">
                  <c:v>De 101 a 500 personas</c:v>
                </c:pt>
                <c:pt idx="4">
                  <c:v>Más de 500 personas</c:v>
                </c:pt>
              </c:strCache>
            </c:strRef>
          </c:cat>
          <c:val>
            <c:numRef>
              <c:f>Sheet8!$G$31:$K$31</c:f>
              <c:numCache>
                <c:formatCode>0%</c:formatCode>
                <c:ptCount val="5"/>
                <c:pt idx="0">
                  <c:v>0.3887444303787474</c:v>
                </c:pt>
                <c:pt idx="1">
                  <c:v>0.43272892475848151</c:v>
                </c:pt>
                <c:pt idx="2">
                  <c:v>0.44527152082373572</c:v>
                </c:pt>
                <c:pt idx="3">
                  <c:v>0.47839502340539131</c:v>
                </c:pt>
                <c:pt idx="4">
                  <c:v>0.61798207506234337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9-4229-994A-10648F9D0A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4573472"/>
        <c:axId val="1504572512"/>
      </c:barChart>
      <c:catAx>
        <c:axId val="150457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72512"/>
        <c:crosses val="autoZero"/>
        <c:auto val="1"/>
        <c:lblAlgn val="ctr"/>
        <c:lblOffset val="100"/>
        <c:noMultiLvlLbl val="0"/>
      </c:catAx>
      <c:valAx>
        <c:axId val="15045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7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Sheet9!$C$3</c:f>
              <c:strCache>
                <c:ptCount val="1"/>
                <c:pt idx="0">
                  <c:v>No Vulnerables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Sheet9!$B$4:$B$7</c:f>
              <c:strCache>
                <c:ptCount val="4"/>
                <c:pt idx="0">
                  <c:v>Empleador o patrono</c:v>
                </c:pt>
                <c:pt idx="1">
                  <c:v>Trabajador independiente</c:v>
                </c:pt>
                <c:pt idx="2">
                  <c:v>Empleado</c:v>
                </c:pt>
                <c:pt idx="3">
                  <c:v>Obrero</c:v>
                </c:pt>
              </c:strCache>
            </c:strRef>
          </c:cat>
          <c:val>
            <c:numRef>
              <c:f>Sheet9!$C$4:$C$7</c:f>
              <c:numCache>
                <c:formatCode>0%</c:formatCode>
                <c:ptCount val="4"/>
                <c:pt idx="0">
                  <c:v>9.1967182593150454E-2</c:v>
                </c:pt>
                <c:pt idx="1">
                  <c:v>8.5610530653374525E-2</c:v>
                </c:pt>
                <c:pt idx="2">
                  <c:v>0.67097796613609273</c:v>
                </c:pt>
                <c:pt idx="3">
                  <c:v>0.14651315052223549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D-41EF-88D5-F9A41D14718E}"/>
            </c:ext>
          </c:extLst>
        </c:ser>
        <c:ser>
          <c:idx val="1"/>
          <c:order val="1"/>
          <c:tx>
            <c:strRef>
              <c:f>Sheet9!$D$3</c:f>
              <c:strCache>
                <c:ptCount val="1"/>
                <c:pt idx="0">
                  <c:v>Vulnerables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Sheet9!$B$4:$B$7</c:f>
              <c:strCache>
                <c:ptCount val="4"/>
                <c:pt idx="0">
                  <c:v>Empleador o patrono</c:v>
                </c:pt>
                <c:pt idx="1">
                  <c:v>Trabajador independiente</c:v>
                </c:pt>
                <c:pt idx="2">
                  <c:v>Empleado</c:v>
                </c:pt>
                <c:pt idx="3">
                  <c:v>Obrero</c:v>
                </c:pt>
              </c:strCache>
            </c:strRef>
          </c:cat>
          <c:val>
            <c:numRef>
              <c:f>Sheet9!$D$4:$D$7</c:f>
              <c:numCache>
                <c:formatCode>0%</c:formatCode>
                <c:ptCount val="4"/>
                <c:pt idx="0">
                  <c:v>4.520477641457215E-2</c:v>
                </c:pt>
                <c:pt idx="1">
                  <c:v>0.21378637976651746</c:v>
                </c:pt>
                <c:pt idx="2">
                  <c:v>0.4648755112021109</c:v>
                </c:pt>
                <c:pt idx="3">
                  <c:v>0.26164680972264764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D-41EF-88D5-F9A41D147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248240"/>
        <c:axId val="755261680"/>
      </c:barChart>
      <c:catAx>
        <c:axId val="75524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61680"/>
        <c:crosses val="autoZero"/>
        <c:auto val="1"/>
        <c:lblAlgn val="ctr"/>
        <c:lblOffset val="100"/>
        <c:noMultiLvlLbl val="0"/>
      </c:catAx>
      <c:valAx>
        <c:axId val="7552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4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Sheet9!$N$11</c:f>
              <c:strCache>
                <c:ptCount val="1"/>
                <c:pt idx="0">
                  <c:v>Vulnerables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Sheet9!$O$9:$R$9</c:f>
              <c:strCache>
                <c:ptCount val="4"/>
                <c:pt idx="0">
                  <c:v>Empleador o patrono</c:v>
                </c:pt>
                <c:pt idx="1">
                  <c:v>Trabajador independiente</c:v>
                </c:pt>
                <c:pt idx="2">
                  <c:v>Empleado</c:v>
                </c:pt>
                <c:pt idx="3">
                  <c:v>Obrero</c:v>
                </c:pt>
              </c:strCache>
            </c:strRef>
          </c:cat>
          <c:val>
            <c:numRef>
              <c:f>Sheet9!$O$11:$R$11</c:f>
              <c:numCache>
                <c:formatCode>0%</c:formatCode>
                <c:ptCount val="4"/>
                <c:pt idx="0">
                  <c:v>0.3262539027906165</c:v>
                </c:pt>
                <c:pt idx="1">
                  <c:v>0.71099484081593745</c:v>
                </c:pt>
                <c:pt idx="2">
                  <c:v>0.40566510375185527</c:v>
                </c:pt>
                <c:pt idx="3">
                  <c:v>0.63759293796932792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9-4548-A7E7-63C3495F24F6}"/>
            </c:ext>
          </c:extLst>
        </c:ser>
        <c:ser>
          <c:idx val="0"/>
          <c:order val="1"/>
          <c:tx>
            <c:strRef>
              <c:f>Sheet9!$N$10</c:f>
              <c:strCache>
                <c:ptCount val="1"/>
                <c:pt idx="0">
                  <c:v>No Vulnerables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Sheet9!$O$9:$R$9</c:f>
              <c:strCache>
                <c:ptCount val="4"/>
                <c:pt idx="0">
                  <c:v>Empleador o patrono</c:v>
                </c:pt>
                <c:pt idx="1">
                  <c:v>Trabajador independiente</c:v>
                </c:pt>
                <c:pt idx="2">
                  <c:v>Empleado</c:v>
                </c:pt>
                <c:pt idx="3">
                  <c:v>Obrero</c:v>
                </c:pt>
              </c:strCache>
            </c:strRef>
          </c:cat>
          <c:val>
            <c:numRef>
              <c:f>Sheet9!$O$10:$R$10</c:f>
              <c:numCache>
                <c:formatCode>0%</c:formatCode>
                <c:ptCount val="4"/>
                <c:pt idx="0">
                  <c:v>0.6737460972093835</c:v>
                </c:pt>
                <c:pt idx="1">
                  <c:v>0.28900515918406255</c:v>
                </c:pt>
                <c:pt idx="2">
                  <c:v>0.59433489624814473</c:v>
                </c:pt>
                <c:pt idx="3">
                  <c:v>0.36240706203067213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9-4548-A7E7-63C3495F24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567760064"/>
        <c:axId val="1567759584"/>
      </c:barChart>
      <c:catAx>
        <c:axId val="156776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7759584"/>
        <c:crosses val="autoZero"/>
        <c:auto val="1"/>
        <c:lblAlgn val="ctr"/>
        <c:lblOffset val="100"/>
        <c:noMultiLvlLbl val="0"/>
      </c:catAx>
      <c:valAx>
        <c:axId val="15677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77600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vulnerables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Sheet10!$D$3</c:f>
              <c:strCache>
                <c:ptCount val="1"/>
                <c:pt idx="0">
                  <c:v>Vulnerables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4D-4F33-96C1-A364AC7ABE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4D-4F33-96C1-A364AC7ABE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4D-4F33-96C1-A364AC7AB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Sheet10!$B$4:$B$7</c15:sqref>
                  </c15:fullRef>
                </c:ext>
              </c:extLst>
              <c:f>Sheet10!$B$4:$B$6</c:f>
              <c:strCache>
                <c:ptCount val="3"/>
                <c:pt idx="0">
                  <c:v>Contrato indefinido</c:v>
                </c:pt>
                <c:pt idx="1">
                  <c:v>Contrato a plazo fijo</c:v>
                </c:pt>
                <c:pt idx="2">
                  <c:v>Otros tipo de contrato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Sheet10!$C$4:$C$7</c15:sqref>
                  </c15:fullRef>
                </c:ext>
              </c:extLst>
              <c:f>Sheet10!$C$4:$C$6</c:f>
              <c:numCache>
                <c:formatCode>0%</c:formatCode>
                <c:ptCount val="3"/>
                <c:pt idx="0">
                  <c:v>0.51478013658203803</c:v>
                </c:pt>
                <c:pt idx="1">
                  <c:v>0.41876835492532671</c:v>
                </c:pt>
                <c:pt idx="2">
                  <c:v>5.0786346448291504E-2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22E1-4CEC-84A8-D85DD10CE83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4950526131499667E-2"/>
          <c:y val="0.74624841335485825"/>
          <c:w val="0.78320484415278635"/>
          <c:h val="0.22613254385882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Vulnerables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Sheet10!$D$3</c:f>
              <c:strCache>
                <c:ptCount val="1"/>
                <c:pt idx="0">
                  <c:v>Vulnerables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04-4362-8846-7B532C1F91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04-4362-8846-7B532C1F91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04-4362-8846-7B532C1F91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Sheet10!$B$4:$B$7</c15:sqref>
                  </c15:fullRef>
                </c:ext>
              </c:extLst>
              <c:f>Sheet10!$B$4:$B$6</c:f>
              <c:strCache>
                <c:ptCount val="3"/>
                <c:pt idx="0">
                  <c:v>Contrato indefinido</c:v>
                </c:pt>
                <c:pt idx="1">
                  <c:v>Contrato a plazo fijo</c:v>
                </c:pt>
                <c:pt idx="2">
                  <c:v>Otros tipo de contrato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Sheet10!$D$4:$D$7</c15:sqref>
                  </c15:fullRef>
                </c:ext>
              </c:extLst>
              <c:f>Sheet10!$D$4:$D$6</c:f>
              <c:numCache>
                <c:formatCode>0%</c:formatCode>
                <c:ptCount val="3"/>
                <c:pt idx="0">
                  <c:v>0.20520989988868596</c:v>
                </c:pt>
                <c:pt idx="1">
                  <c:v>0.69163238141401728</c:v>
                </c:pt>
                <c:pt idx="2">
                  <c:v>5.028310059176546E-2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F604-4362-8846-7B532C1F9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904502321825151E-2"/>
          <c:y val="0.7460307095586195"/>
          <c:w val="0.86783202099737533"/>
          <c:h val="0.22632655215607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Sheet11!$F$2</c:f>
              <c:strCache>
                <c:ptCount val="1"/>
                <c:pt idx="0">
                  <c:v>Vulnerables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Sheet11!$D$3:$D$4</c:f>
              <c:strCache>
                <c:ptCount val="2"/>
                <c:pt idx="0">
                  <c:v>Masculino</c:v>
                </c:pt>
                <c:pt idx="1">
                  <c:v>Femenino</c:v>
                </c:pt>
              </c:strCache>
            </c:strRef>
          </c:cat>
          <c:val>
            <c:numRef>
              <c:f>Sheet11!$F$3:$F$4</c:f>
              <c:numCache>
                <c:formatCode>0%</c:formatCode>
                <c:ptCount val="2"/>
                <c:pt idx="0">
                  <c:v>0.55114976811173633</c:v>
                </c:pt>
                <c:pt idx="1">
                  <c:v>0.44885023188826373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6-41B3-AC7F-91BDD86BC0EF}"/>
            </c:ext>
          </c:extLst>
        </c:ser>
        <c:ser>
          <c:idx val="0"/>
          <c:order val="1"/>
          <c:tx>
            <c:strRef>
              <c:f>Sheet11!$E$2</c:f>
              <c:strCache>
                <c:ptCount val="1"/>
                <c:pt idx="0">
                  <c:v>No Vulnerables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Sheet11!$D$3:$D$4</c:f>
              <c:strCache>
                <c:ptCount val="2"/>
                <c:pt idx="0">
                  <c:v>Masculino</c:v>
                </c:pt>
                <c:pt idx="1">
                  <c:v>Femenino</c:v>
                </c:pt>
              </c:strCache>
            </c:strRef>
          </c:cat>
          <c:val>
            <c:numRef>
              <c:f>Sheet11!$E$3:$E$4</c:f>
              <c:numCache>
                <c:formatCode>0%</c:formatCode>
                <c:ptCount val="2"/>
                <c:pt idx="0">
                  <c:v>0.65378674606889697</c:v>
                </c:pt>
                <c:pt idx="1">
                  <c:v>0.34621325393110308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6-41B3-AC7F-91BDD86BC0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76051216"/>
        <c:axId val="1376047856"/>
      </c:barChart>
      <c:catAx>
        <c:axId val="137605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47856"/>
        <c:crosses val="autoZero"/>
        <c:auto val="1"/>
        <c:lblAlgn val="ctr"/>
        <c:lblOffset val="100"/>
        <c:noMultiLvlLbl val="0"/>
      </c:catAx>
      <c:valAx>
        <c:axId val="137604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5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Sheet12!$D$5</c:f>
              <c:strCache>
                <c:ptCount val="1"/>
                <c:pt idx="0">
                  <c:v>No Vulnerables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Sheet12!$C$6:$C$9</c:f>
              <c:strCache>
                <c:ptCount val="4"/>
                <c:pt idx="0">
                  <c:v>14-24</c:v>
                </c:pt>
                <c:pt idx="1">
                  <c:v>25-44</c:v>
                </c:pt>
                <c:pt idx="2">
                  <c:v>45-64</c:v>
                </c:pt>
                <c:pt idx="3">
                  <c:v>65+</c:v>
                </c:pt>
              </c:strCache>
            </c:strRef>
          </c:cat>
          <c:val>
            <c:numRef>
              <c:f>Sheet12!$D$6:$D$9</c:f>
              <c:numCache>
                <c:formatCode>0%</c:formatCode>
                <c:ptCount val="4"/>
                <c:pt idx="0">
                  <c:v>2.9141497575137554E-2</c:v>
                </c:pt>
                <c:pt idx="1">
                  <c:v>0.54883281711290566</c:v>
                </c:pt>
                <c:pt idx="2">
                  <c:v>0.3975500250860009</c:v>
                </c:pt>
                <c:pt idx="3">
                  <c:v>2.4475660225955775E-2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C-4A88-BC78-FC8C22BDDD52}"/>
            </c:ext>
          </c:extLst>
        </c:ser>
        <c:ser>
          <c:idx val="1"/>
          <c:order val="1"/>
          <c:tx>
            <c:strRef>
              <c:f>Sheet12!$E$5</c:f>
              <c:strCache>
                <c:ptCount val="1"/>
                <c:pt idx="0">
                  <c:v>Vulnerables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Sheet12!$C$6:$C$9</c:f>
              <c:strCache>
                <c:ptCount val="4"/>
                <c:pt idx="0">
                  <c:v>14-24</c:v>
                </c:pt>
                <c:pt idx="1">
                  <c:v>25-44</c:v>
                </c:pt>
                <c:pt idx="2">
                  <c:v>45-64</c:v>
                </c:pt>
                <c:pt idx="3">
                  <c:v>65+</c:v>
                </c:pt>
              </c:strCache>
            </c:strRef>
          </c:cat>
          <c:val>
            <c:numRef>
              <c:f>Sheet12!$E$6:$E$9</c:f>
              <c:numCache>
                <c:formatCode>0%</c:formatCode>
                <c:ptCount val="4"/>
                <c:pt idx="0">
                  <c:v>0.13133659281518245</c:v>
                </c:pt>
                <c:pt idx="1">
                  <c:v>0.52335754246861521</c:v>
                </c:pt>
                <c:pt idx="2">
                  <c:v>0.3040368835711143</c:v>
                </c:pt>
                <c:pt idx="3">
                  <c:v>4.1268981145087993E-2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C-4A88-BC78-FC8C22BDD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060816"/>
        <c:axId val="1376059856"/>
      </c:barChart>
      <c:catAx>
        <c:axId val="137606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59856"/>
        <c:crosses val="autoZero"/>
        <c:auto val="1"/>
        <c:lblAlgn val="ctr"/>
        <c:lblOffset val="100"/>
        <c:noMultiLvlLbl val="0"/>
      </c:catAx>
      <c:valAx>
        <c:axId val="137605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6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Sheet12!$H$35</c:f>
              <c:strCache>
                <c:ptCount val="1"/>
                <c:pt idx="0">
                  <c:v>No Vulnerables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Sheet12!$I$34:$L$34</c:f>
              <c:strCache>
                <c:ptCount val="4"/>
                <c:pt idx="0">
                  <c:v>  14-24    </c:v>
                </c:pt>
                <c:pt idx="1">
                  <c:v>  25-44    </c:v>
                </c:pt>
                <c:pt idx="2">
                  <c:v>  45-64    </c:v>
                </c:pt>
                <c:pt idx="3">
                  <c:v>  65+      </c:v>
                </c:pt>
              </c:strCache>
            </c:strRef>
          </c:cat>
          <c:val>
            <c:numRef>
              <c:f>Sheet12!$I$35:$L$35</c:f>
              <c:numCache>
                <c:formatCode>0%</c:formatCode>
                <c:ptCount val="4"/>
                <c:pt idx="0">
                  <c:v>0.18382392230727099</c:v>
                </c:pt>
                <c:pt idx="1">
                  <c:v>0.51561429461388386</c:v>
                </c:pt>
                <c:pt idx="2">
                  <c:v>0.57031102649756893</c:v>
                </c:pt>
                <c:pt idx="3">
                  <c:v>0.37578363615303484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3-44CB-A6A1-6833C7106B75}"/>
            </c:ext>
          </c:extLst>
        </c:ser>
        <c:ser>
          <c:idx val="1"/>
          <c:order val="1"/>
          <c:tx>
            <c:strRef>
              <c:f>Sheet12!$H$36</c:f>
              <c:strCache>
                <c:ptCount val="1"/>
                <c:pt idx="0">
                  <c:v>Vulnerables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Sheet12!$I$34:$L$34</c:f>
              <c:strCache>
                <c:ptCount val="4"/>
                <c:pt idx="0">
                  <c:v>  14-24    </c:v>
                </c:pt>
                <c:pt idx="1">
                  <c:v>  25-44    </c:v>
                </c:pt>
                <c:pt idx="2">
                  <c:v>  45-64    </c:v>
                </c:pt>
                <c:pt idx="3">
                  <c:v>  65+      </c:v>
                </c:pt>
              </c:strCache>
            </c:strRef>
          </c:cat>
          <c:val>
            <c:numRef>
              <c:f>Sheet12!$I$36:$L$36</c:f>
              <c:numCache>
                <c:formatCode>0%</c:formatCode>
                <c:ptCount val="4"/>
                <c:pt idx="0">
                  <c:v>0.81617607769272893</c:v>
                </c:pt>
                <c:pt idx="1">
                  <c:v>0.48438570538611614</c:v>
                </c:pt>
                <c:pt idx="2">
                  <c:v>0.42968897350243102</c:v>
                </c:pt>
                <c:pt idx="3">
                  <c:v>0.62421636384696511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3-44CB-A6A1-6833C7106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2859312"/>
        <c:axId val="12864112"/>
      </c:barChart>
      <c:catAx>
        <c:axId val="1285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64112"/>
        <c:crosses val="autoZero"/>
        <c:auto val="1"/>
        <c:lblAlgn val="ctr"/>
        <c:lblOffset val="100"/>
        <c:noMultiLvlLbl val="0"/>
      </c:catAx>
      <c:valAx>
        <c:axId val="1286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593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Sheet13!$E$3</c:f>
              <c:strCache>
                <c:ptCount val="1"/>
                <c:pt idx="0">
                  <c:v>No vulnerables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Sheet13!$D$4:$D$8</c:f>
              <c:strCache>
                <c:ptCount val="5"/>
                <c:pt idx="0">
                  <c:v>Sin nivel o inicial</c:v>
                </c:pt>
                <c:pt idx="1">
                  <c:v>Primaria</c:v>
                </c:pt>
                <c:pt idx="2">
                  <c:v>Secundaria</c:v>
                </c:pt>
                <c:pt idx="3">
                  <c:v>Superior no universitaria</c:v>
                </c:pt>
                <c:pt idx="4">
                  <c:v>Superior universitaria</c:v>
                </c:pt>
              </c:strCache>
            </c:strRef>
          </c:cat>
          <c:val>
            <c:numRef>
              <c:f>Sheet13!$E$4:$E$8</c:f>
              <c:numCache>
                <c:formatCode>0%</c:formatCode>
                <c:ptCount val="5"/>
                <c:pt idx="0">
                  <c:v>1.2244530745986528E-2</c:v>
                </c:pt>
                <c:pt idx="1">
                  <c:v>3.8937520328604168E-2</c:v>
                </c:pt>
                <c:pt idx="2">
                  <c:v>0.29217714920600185</c:v>
                </c:pt>
                <c:pt idx="3">
                  <c:v>0.20820276073137975</c:v>
                </c:pt>
                <c:pt idx="4">
                  <c:v>0.44843803898802759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9-4800-ABA5-1B93EA9D31DE}"/>
            </c:ext>
          </c:extLst>
        </c:ser>
        <c:ser>
          <c:idx val="1"/>
          <c:order val="1"/>
          <c:tx>
            <c:strRef>
              <c:f>Sheet13!$F$3</c:f>
              <c:strCache>
                <c:ptCount val="1"/>
                <c:pt idx="0">
                  <c:v>Vulnerables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Sheet13!$D$4:$D$8</c:f>
              <c:strCache>
                <c:ptCount val="5"/>
                <c:pt idx="0">
                  <c:v>Sin nivel o inicial</c:v>
                </c:pt>
                <c:pt idx="1">
                  <c:v>Primaria</c:v>
                </c:pt>
                <c:pt idx="2">
                  <c:v>Secundaria</c:v>
                </c:pt>
                <c:pt idx="3">
                  <c:v>Superior no universitaria</c:v>
                </c:pt>
                <c:pt idx="4">
                  <c:v>Superior universitaria</c:v>
                </c:pt>
              </c:strCache>
            </c:strRef>
          </c:cat>
          <c:val>
            <c:numRef>
              <c:f>Sheet13!$F$4:$F$8</c:f>
              <c:numCache>
                <c:formatCode>0%</c:formatCode>
                <c:ptCount val="5"/>
                <c:pt idx="0">
                  <c:v>3.5237212848001617E-2</c:v>
                </c:pt>
                <c:pt idx="1">
                  <c:v>0.11361459026976338</c:v>
                </c:pt>
                <c:pt idx="2">
                  <c:v>0.48493397819169254</c:v>
                </c:pt>
                <c:pt idx="3">
                  <c:v>0.20035136938415987</c:v>
                </c:pt>
                <c:pt idx="4">
                  <c:v>0.16586284930638245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9-4800-ABA5-1B93EA9D3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049296"/>
        <c:axId val="1376049776"/>
      </c:barChart>
      <c:catAx>
        <c:axId val="137604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49776"/>
        <c:crosses val="autoZero"/>
        <c:auto val="1"/>
        <c:lblAlgn val="ctr"/>
        <c:lblOffset val="100"/>
        <c:noMultiLvlLbl val="0"/>
      </c:catAx>
      <c:valAx>
        <c:axId val="13760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4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Sheet13!$J$43</c:f>
              <c:strCache>
                <c:ptCount val="1"/>
                <c:pt idx="0">
                  <c:v>No vulnerables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Sheet13!$K$42:$O$42</c:f>
              <c:strCache>
                <c:ptCount val="5"/>
                <c:pt idx="0">
                  <c:v>Sin nivel o inicial</c:v>
                </c:pt>
                <c:pt idx="1">
                  <c:v>Primaria</c:v>
                </c:pt>
                <c:pt idx="2">
                  <c:v>Secundaria</c:v>
                </c:pt>
                <c:pt idx="3">
                  <c:v>Superior no universitaria</c:v>
                </c:pt>
                <c:pt idx="4">
                  <c:v>Superior universitaria</c:v>
                </c:pt>
              </c:strCache>
            </c:strRef>
          </c:cat>
          <c:val>
            <c:numRef>
              <c:f>Sheet13!$K$43:$O$43</c:f>
              <c:numCache>
                <c:formatCode>0%</c:formatCode>
                <c:ptCount val="5"/>
                <c:pt idx="0">
                  <c:v>0.26074990698740663</c:v>
                </c:pt>
                <c:pt idx="1">
                  <c:v>0.25809282590850641</c:v>
                </c:pt>
                <c:pt idx="2">
                  <c:v>0.37949230918043592</c:v>
                </c:pt>
                <c:pt idx="3">
                  <c:v>0.51334396470327159</c:v>
                </c:pt>
                <c:pt idx="4">
                  <c:v>0.73293365487016449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B-402E-8B31-86E9D94F8B7B}"/>
            </c:ext>
          </c:extLst>
        </c:ser>
        <c:ser>
          <c:idx val="1"/>
          <c:order val="1"/>
          <c:tx>
            <c:strRef>
              <c:f>Sheet13!$J$44</c:f>
              <c:strCache>
                <c:ptCount val="1"/>
                <c:pt idx="0">
                  <c:v>Vulnerables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Sheet13!$K$42:$O$42</c:f>
              <c:strCache>
                <c:ptCount val="5"/>
                <c:pt idx="0">
                  <c:v>Sin nivel o inicial</c:v>
                </c:pt>
                <c:pt idx="1">
                  <c:v>Primaria</c:v>
                </c:pt>
                <c:pt idx="2">
                  <c:v>Secundaria</c:v>
                </c:pt>
                <c:pt idx="3">
                  <c:v>Superior no universitaria</c:v>
                </c:pt>
                <c:pt idx="4">
                  <c:v>Superior universitaria</c:v>
                </c:pt>
              </c:strCache>
            </c:strRef>
          </c:cat>
          <c:val>
            <c:numRef>
              <c:f>Sheet13!$K$44:$O$44</c:f>
              <c:numCache>
                <c:formatCode>0%</c:formatCode>
                <c:ptCount val="5"/>
                <c:pt idx="0">
                  <c:v>0.73925009301259337</c:v>
                </c:pt>
                <c:pt idx="1">
                  <c:v>0.74190717409149365</c:v>
                </c:pt>
                <c:pt idx="2">
                  <c:v>0.62050769081956403</c:v>
                </c:pt>
                <c:pt idx="3">
                  <c:v>0.48665603529672835</c:v>
                </c:pt>
                <c:pt idx="4">
                  <c:v>0.2670663451298354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3B-402E-8B31-86E9D94F8B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2890512"/>
        <c:axId val="12893392"/>
      </c:barChart>
      <c:catAx>
        <c:axId val="1289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93392"/>
        <c:crosses val="autoZero"/>
        <c:auto val="1"/>
        <c:lblAlgn val="ctr"/>
        <c:lblOffset val="100"/>
        <c:noMultiLvlLbl val="0"/>
      </c:catAx>
      <c:valAx>
        <c:axId val="128933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905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5</xdr:row>
      <xdr:rowOff>26670</xdr:rowOff>
    </xdr:from>
    <xdr:to>
      <xdr:col>13</xdr:col>
      <xdr:colOff>289560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C3611-45FF-6757-C3FB-84A8F5863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9</xdr:row>
      <xdr:rowOff>118110</xdr:rowOff>
    </xdr:from>
    <xdr:to>
      <xdr:col>16</xdr:col>
      <xdr:colOff>510540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D9E47-D85F-F082-91DD-00C756500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5</xdr:row>
      <xdr:rowOff>102870</xdr:rowOff>
    </xdr:from>
    <xdr:to>
      <xdr:col>15</xdr:col>
      <xdr:colOff>106680</xdr:colOff>
      <xdr:row>25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86532-CBA1-448E-E1ED-FD06CB2FE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15</xdr:col>
      <xdr:colOff>175260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E5F132-DE79-45E0-93B6-DC52B638F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592016</xdr:colOff>
      <xdr:row>5</xdr:row>
      <xdr:rowOff>35169</xdr:rowOff>
    </xdr:from>
    <xdr:to>
      <xdr:col>17</xdr:col>
      <xdr:colOff>157676</xdr:colOff>
      <xdr:row>23</xdr:row>
      <xdr:rowOff>32531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AA6BE-2FC1-42A7-872C-A142E9434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106680</xdr:colOff>
      <xdr:row>4</xdr:row>
      <xdr:rowOff>15240</xdr:rowOff>
    </xdr:from>
    <xdr:to>
      <xdr:col>19</xdr:col>
      <xdr:colOff>464820</xdr:colOff>
      <xdr:row>24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F6851-9B52-4998-89D8-B72476388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8</xdr:row>
      <xdr:rowOff>133350</xdr:rowOff>
    </xdr:from>
    <xdr:to>
      <xdr:col>11</xdr:col>
      <xdr:colOff>358140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26D83F-E568-4F6C-4B1A-BBBDB08A4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22529</xdr:colOff>
      <xdr:row>2</xdr:row>
      <xdr:rowOff>136663</xdr:rowOff>
    </xdr:from>
    <xdr:to>
      <xdr:col>9</xdr:col>
      <xdr:colOff>459851</xdr:colOff>
      <xdr:row>17</xdr:row>
      <xdr:rowOff>136664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3C443B-5D37-5275-5998-347826B44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404191</xdr:colOff>
      <xdr:row>25</xdr:row>
      <xdr:rowOff>76199</xdr:rowOff>
    </xdr:from>
    <xdr:to>
      <xdr:col>5</xdr:col>
      <xdr:colOff>801756</xdr:colOff>
      <xdr:row>40</xdr:row>
      <xdr:rowOff>36443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E4779-6B75-1517-A598-08DA2095F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0</xdr:row>
      <xdr:rowOff>26670</xdr:rowOff>
    </xdr:from>
    <xdr:to>
      <xdr:col>12</xdr:col>
      <xdr:colOff>274320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CADE7-ACD7-93B2-AB90-57F634EC1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502920</xdr:colOff>
      <xdr:row>15</xdr:row>
      <xdr:rowOff>11430</xdr:rowOff>
    </xdr:from>
    <xdr:to>
      <xdr:col>12</xdr:col>
      <xdr:colOff>198120</xdr:colOff>
      <xdr:row>30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87BF4F-1657-AD32-CA5C-8290857DF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357615</xdr:colOff>
      <xdr:row>8</xdr:row>
      <xdr:rowOff>179070</xdr:rowOff>
    </xdr:from>
    <xdr:to>
      <xdr:col>6</xdr:col>
      <xdr:colOff>388095</xdr:colOff>
      <xdr:row>23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27F1E-90EB-85FC-2532-CE2023728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411480</xdr:colOff>
      <xdr:row>8</xdr:row>
      <xdr:rowOff>181041</xdr:rowOff>
    </xdr:from>
    <xdr:to>
      <xdr:col>10</xdr:col>
      <xdr:colOff>449580</xdr:colOff>
      <xdr:row>23</xdr:row>
      <xdr:rowOff>178676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48365-91AB-4F15-AB3F-BF77E7915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8</xdr:row>
      <xdr:rowOff>133350</xdr:rowOff>
    </xdr:from>
    <xdr:to>
      <xdr:col>13</xdr:col>
      <xdr:colOff>76200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21519-22F6-5C60-4147-D591FB5B5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8</xdr:row>
      <xdr:rowOff>133350</xdr:rowOff>
    </xdr:from>
    <xdr:to>
      <xdr:col>12</xdr:col>
      <xdr:colOff>388620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2C8D04-D64C-F8E9-6DF1-E57B475BA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22</xdr:row>
      <xdr:rowOff>41910</xdr:rowOff>
    </xdr:from>
    <xdr:to>
      <xdr:col>15</xdr:col>
      <xdr:colOff>312420</xdr:colOff>
      <xdr:row>37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E1FE7-E41E-1610-A79B-BE5F8624C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1615440</xdr:colOff>
      <xdr:row>8</xdr:row>
      <xdr:rowOff>133350</xdr:rowOff>
    </xdr:from>
    <xdr:to>
      <xdr:col>10</xdr:col>
      <xdr:colOff>167640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EE7BD-36D1-F883-6B37-ACD47A6C4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281940</xdr:colOff>
      <xdr:row>43</xdr:row>
      <xdr:rowOff>64770</xdr:rowOff>
    </xdr:from>
    <xdr:to>
      <xdr:col>13</xdr:col>
      <xdr:colOff>0</xdr:colOff>
      <xdr:row>58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F75EC-79ED-1F7F-E775-947537520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BCCC-01AF-490B-B125-4D14618F0E2D}">
  <dimension ref="A1:B16"/>
  <sheetViews>
    <sheetView topLeftCell="C19" zoomScale="145" zoomScaleNormal="145" workbookViewId="0">
      <selection activeCell="H5" sqref="H5"/>
    </sheetView>
  </sheetViews>
  <sheetFormatPr defaultRowHeight="14.4" x14ac:dyDescent="0.3"/>
  <cols>
    <col min="1" max="2" width="19.6640625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t="s">
        <v>2</v>
      </c>
      <c r="B2" s="1">
        <v>7.1282769999999995E-2</v>
      </c>
    </row>
    <row r="3" spans="1:2" x14ac:dyDescent="0.3">
      <c r="A3" t="s">
        <v>3</v>
      </c>
      <c r="B3" s="1">
        <v>6.0418658E-2</v>
      </c>
    </row>
    <row r="4" spans="1:2" x14ac:dyDescent="0.3">
      <c r="A4" t="s">
        <v>4</v>
      </c>
      <c r="B4" s="1">
        <v>3.0979902E-2</v>
      </c>
    </row>
    <row r="5" spans="1:2" x14ac:dyDescent="0.3">
      <c r="A5" t="s">
        <v>5</v>
      </c>
      <c r="B5" s="1">
        <v>2.5096215000000002E-2</v>
      </c>
    </row>
    <row r="6" spans="1:2" x14ac:dyDescent="0.3">
      <c r="A6" t="s">
        <v>6</v>
      </c>
      <c r="B6" s="1">
        <v>2.4943875000000001E-2</v>
      </c>
    </row>
    <row r="7" spans="1:2" x14ac:dyDescent="0.3">
      <c r="A7" t="s">
        <v>16</v>
      </c>
      <c r="B7" s="1">
        <v>2.3690635000000002E-2</v>
      </c>
    </row>
    <row r="8" spans="1:2" x14ac:dyDescent="0.3">
      <c r="A8" t="s">
        <v>7</v>
      </c>
      <c r="B8" s="1">
        <v>2.0998735000000001E-2</v>
      </c>
    </row>
    <row r="9" spans="1:2" x14ac:dyDescent="0.3">
      <c r="A9" t="s">
        <v>15</v>
      </c>
      <c r="B9" s="1">
        <v>2.0764528000000001E-2</v>
      </c>
    </row>
    <row r="10" spans="1:2" x14ac:dyDescent="0.3">
      <c r="A10" t="s">
        <v>10</v>
      </c>
      <c r="B10" s="1">
        <v>1.8924699999999999E-2</v>
      </c>
    </row>
    <row r="11" spans="1:2" x14ac:dyDescent="0.3">
      <c r="A11" t="s">
        <v>9</v>
      </c>
      <c r="B11" s="1">
        <v>1.7316682E-2</v>
      </c>
    </row>
    <row r="12" spans="1:2" x14ac:dyDescent="0.3">
      <c r="A12" t="s">
        <v>8</v>
      </c>
      <c r="B12" s="1">
        <v>1.7025212000000001E-2</v>
      </c>
    </row>
    <row r="13" spans="1:2" x14ac:dyDescent="0.3">
      <c r="A13" t="s">
        <v>14</v>
      </c>
      <c r="B13" s="1">
        <v>1.6744904000000001E-2</v>
      </c>
    </row>
    <row r="14" spans="1:2" x14ac:dyDescent="0.3">
      <c r="A14" t="s">
        <v>13</v>
      </c>
      <c r="B14" s="1">
        <v>1.5606221E-2</v>
      </c>
    </row>
    <row r="15" spans="1:2" x14ac:dyDescent="0.3">
      <c r="A15" t="s">
        <v>11</v>
      </c>
      <c r="B15" s="1">
        <v>1.5572188000000001E-2</v>
      </c>
    </row>
    <row r="16" spans="1:2" x14ac:dyDescent="0.3">
      <c r="A16" t="s">
        <v>12</v>
      </c>
      <c r="B16" s="1">
        <v>1.5401339999999999E-2</v>
      </c>
    </row>
  </sheetData>
  <autoFilter ref="A1:B16" xr:uid="{DE31BCCC-01AF-490B-B125-4D14618F0E2D}">
    <sortState xmlns:xlrd2="http://schemas.microsoft.com/office/spreadsheetml/2017/richdata2" ref="A2:B16">
      <sortCondition descending="1" ref="B1:B16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5A1C-20F9-44DC-83FD-06BAB8DC52CA}">
  <dimension ref="A1:F24"/>
  <sheetViews>
    <sheetView workbookViewId="0"/>
  </sheetViews>
  <sheetFormatPr defaultRowHeight="14.4" x14ac:dyDescent="0.3"/>
  <cols>
    <col min="2" max="2" width="9.5546875" bestFit="1" customWidth="1"/>
    <col min="3" max="3" width="9.6640625" bestFit="1" customWidth="1"/>
  </cols>
  <sheetData>
    <row r="1" spans="1:6" x14ac:dyDescent="0.3">
      <c r="A1" t="s">
        <v>17</v>
      </c>
      <c r="B1" t="s">
        <v>25</v>
      </c>
      <c r="C1" t="s">
        <v>19</v>
      </c>
      <c r="D1" t="s">
        <v>20</v>
      </c>
    </row>
    <row r="2" spans="1:6" x14ac:dyDescent="0.3">
      <c r="A2">
        <v>2011</v>
      </c>
      <c r="B2" s="3">
        <v>2092.0489388587976</v>
      </c>
      <c r="C2">
        <v>1668.713</v>
      </c>
      <c r="D2">
        <v>1663.076</v>
      </c>
      <c r="E2" s="4">
        <f t="shared" ref="E2:E11" si="0">(C2-B2)/B2</f>
        <v>-0.20235470164943908</v>
      </c>
      <c r="F2" s="4">
        <f t="shared" ref="F2:F11" si="1">(D2-B2)/B2</f>
        <v>-0.20504918928560065</v>
      </c>
    </row>
    <row r="3" spans="1:6" x14ac:dyDescent="0.3">
      <c r="A3">
        <v>2012</v>
      </c>
      <c r="B3" s="3">
        <v>2372.6797907443192</v>
      </c>
      <c r="C3">
        <v>1985.1410000000001</v>
      </c>
      <c r="D3">
        <v>1828.127</v>
      </c>
      <c r="E3" s="4">
        <f t="shared" si="0"/>
        <v>-0.16333379339938098</v>
      </c>
      <c r="F3" s="4">
        <f t="shared" si="1"/>
        <v>-0.22950960043937951</v>
      </c>
    </row>
    <row r="4" spans="1:6" x14ac:dyDescent="0.3">
      <c r="A4">
        <v>2013</v>
      </c>
      <c r="B4" s="3">
        <v>2283.4462680474539</v>
      </c>
      <c r="C4">
        <v>1918.748</v>
      </c>
      <c r="D4">
        <v>1860.74</v>
      </c>
      <c r="E4" s="4">
        <f t="shared" si="0"/>
        <v>-0.15971396969165505</v>
      </c>
      <c r="F4" s="4">
        <f t="shared" si="1"/>
        <v>-0.18511767671630158</v>
      </c>
    </row>
    <row r="5" spans="1:6" x14ac:dyDescent="0.3">
      <c r="A5">
        <v>2014</v>
      </c>
      <c r="B5" s="3">
        <v>2167.6857570213706</v>
      </c>
      <c r="C5">
        <v>1875.068</v>
      </c>
      <c r="D5">
        <v>1888.6320000000001</v>
      </c>
      <c r="E5" s="4">
        <f t="shared" si="0"/>
        <v>-0.13499085652685117</v>
      </c>
      <c r="F5" s="4">
        <f t="shared" si="1"/>
        <v>-0.12873349198216807</v>
      </c>
    </row>
    <row r="6" spans="1:6" x14ac:dyDescent="0.3">
      <c r="A6">
        <v>2015</v>
      </c>
      <c r="B6" s="3">
        <v>2062.2078801899984</v>
      </c>
      <c r="C6">
        <v>1966.2470000000001</v>
      </c>
      <c r="D6">
        <v>1971.0440000000001</v>
      </c>
      <c r="E6" s="4">
        <f t="shared" si="0"/>
        <v>-4.6533078023713641E-2</v>
      </c>
      <c r="F6" s="4">
        <f t="shared" si="1"/>
        <v>-4.4206930380655436E-2</v>
      </c>
    </row>
    <row r="7" spans="1:6" x14ac:dyDescent="0.3">
      <c r="A7">
        <v>2016</v>
      </c>
      <c r="B7" s="3">
        <v>2144.9469830583234</v>
      </c>
      <c r="C7">
        <v>2099.25</v>
      </c>
      <c r="D7">
        <v>2002.7360000000001</v>
      </c>
      <c r="E7" s="4">
        <f t="shared" si="0"/>
        <v>-2.1304481378447614E-2</v>
      </c>
      <c r="F7" s="4">
        <f t="shared" si="1"/>
        <v>-6.6300465317587973E-2</v>
      </c>
    </row>
    <row r="8" spans="1:6" x14ac:dyDescent="0.3">
      <c r="A8">
        <v>2017</v>
      </c>
      <c r="B8" s="3">
        <v>2072.8500113733639</v>
      </c>
      <c r="C8">
        <v>1985.41</v>
      </c>
      <c r="D8">
        <v>2036.288</v>
      </c>
      <c r="E8" s="4">
        <f t="shared" si="0"/>
        <v>-4.2183472462356597E-2</v>
      </c>
      <c r="F8" s="4">
        <f t="shared" si="1"/>
        <v>-1.7638522407677638E-2</v>
      </c>
    </row>
    <row r="9" spans="1:6" x14ac:dyDescent="0.3">
      <c r="A9">
        <v>2018</v>
      </c>
      <c r="B9" s="3">
        <v>2117.9495864335126</v>
      </c>
      <c r="C9">
        <v>2057.1210000000001</v>
      </c>
      <c r="D9">
        <v>2048.1379999999999</v>
      </c>
      <c r="E9" s="4">
        <f t="shared" si="0"/>
        <v>-2.8720507241130268E-2</v>
      </c>
      <c r="F9" s="4">
        <f t="shared" si="1"/>
        <v>-3.2961873540659124E-2</v>
      </c>
    </row>
    <row r="10" spans="1:6" x14ac:dyDescent="0.3">
      <c r="A10">
        <v>2019</v>
      </c>
      <c r="B10" s="3">
        <v>2114.5619999999999</v>
      </c>
      <c r="C10">
        <v>2085.1060000000002</v>
      </c>
      <c r="D10">
        <v>2156.5889999999999</v>
      </c>
      <c r="E10" s="4">
        <f t="shared" si="0"/>
        <v>-1.3930071570377071E-2</v>
      </c>
      <c r="F10" s="4">
        <f t="shared" si="1"/>
        <v>1.9875037951121815E-2</v>
      </c>
    </row>
    <row r="11" spans="1:6" x14ac:dyDescent="0.3">
      <c r="A11">
        <v>2020</v>
      </c>
      <c r="B11" s="3">
        <v>2013.1047679068513</v>
      </c>
      <c r="C11">
        <v>2031.5530000000001</v>
      </c>
      <c r="D11">
        <v>1978.6220000000001</v>
      </c>
      <c r="E11" s="4">
        <f t="shared" si="0"/>
        <v>9.1640695443439731E-3</v>
      </c>
      <c r="F11" s="4">
        <f t="shared" si="1"/>
        <v>-1.7129147204149278E-2</v>
      </c>
    </row>
    <row r="15" spans="1:6" x14ac:dyDescent="0.3">
      <c r="A15">
        <v>2011</v>
      </c>
      <c r="B15">
        <v>1687.2909999999999</v>
      </c>
    </row>
    <row r="16" spans="1:6" x14ac:dyDescent="0.3">
      <c r="A16">
        <v>2012</v>
      </c>
      <c r="B16">
        <v>1964.326</v>
      </c>
    </row>
    <row r="17" spans="1:2" x14ac:dyDescent="0.3">
      <c r="A17">
        <v>2013</v>
      </c>
      <c r="B17">
        <v>1944.511</v>
      </c>
    </row>
    <row r="18" spans="1:2" x14ac:dyDescent="0.3">
      <c r="A18">
        <v>2014</v>
      </c>
      <c r="B18">
        <v>1905.4469999999999</v>
      </c>
    </row>
    <row r="19" spans="1:2" x14ac:dyDescent="0.3">
      <c r="A19">
        <v>2015</v>
      </c>
      <c r="B19">
        <v>1892.452</v>
      </c>
    </row>
    <row r="20" spans="1:2" x14ac:dyDescent="0.3">
      <c r="A20">
        <v>2016</v>
      </c>
      <c r="B20">
        <v>2032.0550000000001</v>
      </c>
    </row>
    <row r="21" spans="1:2" x14ac:dyDescent="0.3">
      <c r="A21">
        <v>2017</v>
      </c>
      <c r="B21">
        <v>1990.5550000000001</v>
      </c>
    </row>
    <row r="22" spans="1:2" x14ac:dyDescent="0.3">
      <c r="A22">
        <v>2018</v>
      </c>
      <c r="B22">
        <v>2078.4569999999999</v>
      </c>
    </row>
    <row r="23" spans="1:2" x14ac:dyDescent="0.3">
      <c r="A23">
        <v>2019</v>
      </c>
      <c r="B23">
        <v>2114.5619999999999</v>
      </c>
    </row>
    <row r="24" spans="1:2" x14ac:dyDescent="0.3">
      <c r="A24">
        <v>2020</v>
      </c>
      <c r="B24">
        <v>2052.828</v>
      </c>
    </row>
  </sheetData>
  <autoFilter ref="A1:B11" xr:uid="{44155A1C-20F9-44DC-83FD-06BAB8DC52CA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6B02-5371-47B3-822C-E3E79955C7E8}">
  <dimension ref="A1:D25"/>
  <sheetViews>
    <sheetView workbookViewId="0">
      <selection activeCell="D2" sqref="D2:D11"/>
    </sheetView>
  </sheetViews>
  <sheetFormatPr defaultRowHeight="14.4" x14ac:dyDescent="0.3"/>
  <cols>
    <col min="2" max="2" width="13.109375" bestFit="1" customWidth="1"/>
    <col min="3" max="3" width="15" bestFit="1" customWidth="1"/>
  </cols>
  <sheetData>
    <row r="1" spans="1:4" x14ac:dyDescent="0.3">
      <c r="A1" t="s">
        <v>17</v>
      </c>
      <c r="B1" t="s">
        <v>21</v>
      </c>
      <c r="C1" t="s">
        <v>22</v>
      </c>
      <c r="D1" t="s">
        <v>33</v>
      </c>
    </row>
    <row r="2" spans="1:4" x14ac:dyDescent="0.3">
      <c r="A2">
        <v>2011</v>
      </c>
      <c r="B2">
        <v>1895.7104687512888</v>
      </c>
      <c r="C2">
        <v>2097.0357614235418</v>
      </c>
      <c r="D2">
        <v>2629.6822224022153</v>
      </c>
    </row>
    <row r="3" spans="1:4" x14ac:dyDescent="0.3">
      <c r="A3">
        <v>2012</v>
      </c>
      <c r="B3">
        <v>1720.6018985242338</v>
      </c>
      <c r="C3">
        <v>2387.3217719752365</v>
      </c>
      <c r="D3">
        <v>2763.1406761350377</v>
      </c>
    </row>
    <row r="4" spans="1:4" x14ac:dyDescent="0.3">
      <c r="A4">
        <v>2013</v>
      </c>
      <c r="B4">
        <v>1726.219246562323</v>
      </c>
      <c r="C4">
        <v>2300.5969721292681</v>
      </c>
      <c r="D4">
        <v>2657.4784049810414</v>
      </c>
    </row>
    <row r="5" spans="1:4" x14ac:dyDescent="0.3">
      <c r="A5">
        <v>2014</v>
      </c>
      <c r="B5">
        <v>1752.0314013542236</v>
      </c>
      <c r="C5">
        <v>2180.7274997297709</v>
      </c>
      <c r="D5">
        <v>2694.616984899104</v>
      </c>
    </row>
    <row r="6" spans="1:4" x14ac:dyDescent="0.3">
      <c r="A6">
        <v>2015</v>
      </c>
      <c r="B6">
        <v>1607.3065190856134</v>
      </c>
      <c r="C6">
        <v>2080.412434306274</v>
      </c>
      <c r="D6">
        <v>2768.4456350006349</v>
      </c>
    </row>
    <row r="7" spans="1:4" x14ac:dyDescent="0.3">
      <c r="A7">
        <v>2016</v>
      </c>
      <c r="B7">
        <v>1682.9123636295481</v>
      </c>
      <c r="C7">
        <v>2158.4232610787049</v>
      </c>
      <c r="D7">
        <v>2772.1148276820918</v>
      </c>
    </row>
    <row r="8" spans="1:4" x14ac:dyDescent="0.3">
      <c r="A8">
        <v>2017</v>
      </c>
      <c r="B8">
        <v>1637.309448863462</v>
      </c>
      <c r="C8">
        <v>2088.1181787270702</v>
      </c>
      <c r="D8">
        <v>2777.054919874362</v>
      </c>
    </row>
    <row r="9" spans="1:4" x14ac:dyDescent="0.3">
      <c r="A9">
        <v>2018</v>
      </c>
      <c r="B9">
        <v>1856.0133630274443</v>
      </c>
      <c r="C9">
        <v>2125.4667561893075</v>
      </c>
      <c r="D9">
        <v>2761.4231897330287</v>
      </c>
    </row>
    <row r="10" spans="1:4" x14ac:dyDescent="0.3">
      <c r="A10">
        <v>2019</v>
      </c>
      <c r="B10">
        <v>2040.4849999999999</v>
      </c>
      <c r="C10">
        <v>2117.7240000000002</v>
      </c>
      <c r="D10">
        <v>2820.8110000000001</v>
      </c>
    </row>
    <row r="11" spans="1:4" x14ac:dyDescent="0.3">
      <c r="A11">
        <v>2020</v>
      </c>
      <c r="B11">
        <v>1954.1736163819332</v>
      </c>
      <c r="C11">
        <v>2014.9022984547457</v>
      </c>
      <c r="D11">
        <v>2550.9802358196334</v>
      </c>
    </row>
    <row r="16" spans="1:4" x14ac:dyDescent="0.3">
      <c r="C16">
        <v>2120.9059999999999</v>
      </c>
    </row>
    <row r="17" spans="3:3" x14ac:dyDescent="0.3">
      <c r="C17">
        <v>2287.5859999999998</v>
      </c>
    </row>
    <row r="18" spans="3:3" x14ac:dyDescent="0.3">
      <c r="C18">
        <v>2263.0250000000001</v>
      </c>
    </row>
    <row r="19" spans="3:3" x14ac:dyDescent="0.3">
      <c r="C19">
        <v>2368.6320000000001</v>
      </c>
    </row>
    <row r="20" spans="3:3" x14ac:dyDescent="0.3">
      <c r="C20">
        <v>2540.5540000000001</v>
      </c>
    </row>
    <row r="21" spans="3:3" x14ac:dyDescent="0.3">
      <c r="C21">
        <v>2626.2139999999999</v>
      </c>
    </row>
    <row r="22" spans="3:3" x14ac:dyDescent="0.3">
      <c r="C22">
        <v>2666.8020000000001</v>
      </c>
    </row>
    <row r="23" spans="3:3" x14ac:dyDescent="0.3">
      <c r="C23">
        <v>2709.9319999999998</v>
      </c>
    </row>
    <row r="24" spans="3:3" x14ac:dyDescent="0.3">
      <c r="C24">
        <v>2820.8110000000001</v>
      </c>
    </row>
    <row r="25" spans="3:3" x14ac:dyDescent="0.3">
      <c r="C25">
        <v>2601.317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D49D-BAE5-41C4-8FDB-026C53B19F17}">
  <dimension ref="A1:D11"/>
  <sheetViews>
    <sheetView zoomScaleNormal="100" workbookViewId="0">
      <selection activeCell="J9" sqref="J9"/>
    </sheetView>
  </sheetViews>
  <sheetFormatPr defaultRowHeight="14.4" x14ac:dyDescent="0.3"/>
  <cols>
    <col min="2" max="2" width="8.88671875" style="3"/>
    <col min="3" max="3" width="38.77734375" bestFit="1" customWidth="1"/>
  </cols>
  <sheetData>
    <row r="1" spans="1:4" x14ac:dyDescent="0.3">
      <c r="A1" t="s">
        <v>17</v>
      </c>
      <c r="B1" s="3" t="s">
        <v>26</v>
      </c>
      <c r="C1" t="s">
        <v>25</v>
      </c>
      <c r="D1" t="s">
        <v>18</v>
      </c>
    </row>
    <row r="2" spans="1:4" x14ac:dyDescent="0.3">
      <c r="A2">
        <v>2011</v>
      </c>
      <c r="B2" s="3">
        <v>2420.8742161103123</v>
      </c>
      <c r="C2" s="3">
        <v>2092.0489388587976</v>
      </c>
      <c r="D2">
        <v>1952.4970000000001</v>
      </c>
    </row>
    <row r="3" spans="1:4" x14ac:dyDescent="0.3">
      <c r="A3">
        <v>2012</v>
      </c>
      <c r="B3" s="3">
        <v>2567.4065454201036</v>
      </c>
      <c r="C3" s="3">
        <v>2372.6797907443192</v>
      </c>
      <c r="D3">
        <v>2125.5390000000002</v>
      </c>
    </row>
    <row r="4" spans="1:4" x14ac:dyDescent="0.3">
      <c r="A4">
        <v>2013</v>
      </c>
      <c r="B4" s="3">
        <v>2511.3410191429393</v>
      </c>
      <c r="C4" s="3">
        <v>2283.4462680474539</v>
      </c>
      <c r="D4">
        <v>2138.5790000000002</v>
      </c>
    </row>
    <row r="5" spans="1:4" x14ac:dyDescent="0.3">
      <c r="A5">
        <v>2014</v>
      </c>
      <c r="B5" s="3">
        <v>2526.92638456859</v>
      </c>
      <c r="C5" s="3">
        <v>2167.6857570213706</v>
      </c>
      <c r="D5">
        <v>2221.2280000000001</v>
      </c>
    </row>
    <row r="6" spans="1:4" x14ac:dyDescent="0.3">
      <c r="A6">
        <v>2015</v>
      </c>
      <c r="B6" s="3">
        <v>2545.9972294197555</v>
      </c>
      <c r="C6" s="3">
        <v>2062.2078801899984</v>
      </c>
      <c r="D6">
        <v>2336.4169999999999</v>
      </c>
    </row>
    <row r="7" spans="1:4" x14ac:dyDescent="0.3">
      <c r="A7">
        <v>2016</v>
      </c>
      <c r="B7" s="3">
        <v>2536.9043234477722</v>
      </c>
      <c r="C7" s="3">
        <v>2144.9469830583234</v>
      </c>
      <c r="D7">
        <v>2403.3829999999998</v>
      </c>
    </row>
    <row r="8" spans="1:4" x14ac:dyDescent="0.3">
      <c r="A8">
        <v>2017</v>
      </c>
      <c r="B8" s="3">
        <v>2539.4861096457144</v>
      </c>
      <c r="C8" s="3">
        <v>2072.8500113733639</v>
      </c>
      <c r="D8">
        <v>2438.665</v>
      </c>
    </row>
    <row r="9" spans="1:4" x14ac:dyDescent="0.3">
      <c r="A9">
        <v>2018</v>
      </c>
      <c r="B9" s="3">
        <v>2549.7634525112035</v>
      </c>
      <c r="C9" s="3">
        <v>2117.9495864335126</v>
      </c>
      <c r="D9">
        <v>2502.2190000000001</v>
      </c>
    </row>
    <row r="10" spans="1:4" x14ac:dyDescent="0.3">
      <c r="A10">
        <v>2019</v>
      </c>
      <c r="B10" s="3">
        <v>2575.44</v>
      </c>
      <c r="C10" s="3">
        <v>2114.5619999999999</v>
      </c>
      <c r="D10">
        <v>2575.44</v>
      </c>
    </row>
    <row r="11" spans="1:4" x14ac:dyDescent="0.3">
      <c r="A11">
        <v>2020</v>
      </c>
      <c r="B11" s="3">
        <v>2330.4086259153064</v>
      </c>
      <c r="C11" s="3">
        <v>2013.1047679068513</v>
      </c>
      <c r="D11">
        <v>2376.393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2E6E-FCB3-4196-9805-1DC3381F7C6E}">
  <dimension ref="B7:D17"/>
  <sheetViews>
    <sheetView zoomScale="130" zoomScaleNormal="130" workbookViewId="0">
      <selection activeCell="N5" sqref="N5"/>
    </sheetView>
  </sheetViews>
  <sheetFormatPr defaultRowHeight="14.4" x14ac:dyDescent="0.3"/>
  <sheetData>
    <row r="7" spans="2:4" x14ac:dyDescent="0.3">
      <c r="B7" t="s">
        <v>17</v>
      </c>
      <c r="C7" t="s">
        <v>24</v>
      </c>
      <c r="D7" t="s">
        <v>23</v>
      </c>
    </row>
    <row r="8" spans="2:4" x14ac:dyDescent="0.3">
      <c r="B8">
        <v>2011</v>
      </c>
      <c r="C8">
        <v>565.3881376239259</v>
      </c>
      <c r="D8">
        <v>456</v>
      </c>
    </row>
    <row r="9" spans="2:4" x14ac:dyDescent="0.3">
      <c r="B9">
        <v>2012</v>
      </c>
      <c r="C9">
        <v>572.53746110004511</v>
      </c>
      <c r="D9">
        <v>474</v>
      </c>
    </row>
    <row r="10" spans="2:4" x14ac:dyDescent="0.3">
      <c r="B10">
        <v>2013</v>
      </c>
      <c r="C10">
        <v>573.06015692745245</v>
      </c>
      <c r="D10">
        <v>488</v>
      </c>
    </row>
    <row r="11" spans="2:4" x14ac:dyDescent="0.3">
      <c r="B11">
        <v>2014</v>
      </c>
      <c r="C11">
        <v>575.63867851103373</v>
      </c>
      <c r="D11">
        <v>506</v>
      </c>
    </row>
    <row r="12" spans="2:4" x14ac:dyDescent="0.3">
      <c r="B12">
        <v>2015</v>
      </c>
      <c r="C12">
        <v>571.00361288928821</v>
      </c>
      <c r="D12">
        <v>524</v>
      </c>
    </row>
    <row r="13" spans="2:4" x14ac:dyDescent="0.3">
      <c r="B13">
        <v>2016</v>
      </c>
      <c r="C13">
        <v>574.22223255951644</v>
      </c>
      <c r="D13">
        <v>544</v>
      </c>
    </row>
    <row r="14" spans="2:4" x14ac:dyDescent="0.3">
      <c r="B14">
        <v>2017</v>
      </c>
      <c r="C14">
        <v>584.19328095956018</v>
      </c>
      <c r="D14">
        <v>561</v>
      </c>
    </row>
    <row r="15" spans="2:4" x14ac:dyDescent="0.3">
      <c r="B15">
        <v>2018</v>
      </c>
      <c r="C15">
        <v>581.84952291701768</v>
      </c>
      <c r="D15">
        <v>571</v>
      </c>
    </row>
    <row r="16" spans="2:4" x14ac:dyDescent="0.3">
      <c r="B16">
        <v>2019</v>
      </c>
      <c r="C16">
        <v>584</v>
      </c>
      <c r="D16">
        <v>584</v>
      </c>
    </row>
    <row r="17" spans="2:2" x14ac:dyDescent="0.3">
      <c r="B17">
        <v>2020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6634-2366-4373-843E-0864A34A6A2F}">
  <dimension ref="B2:H12"/>
  <sheetViews>
    <sheetView topLeftCell="D2" zoomScale="123" workbookViewId="0">
      <selection activeCell="B15" sqref="B15"/>
    </sheetView>
  </sheetViews>
  <sheetFormatPr defaultRowHeight="14.4" x14ac:dyDescent="0.3"/>
  <sheetData>
    <row r="2" spans="2:8" x14ac:dyDescent="0.3">
      <c r="B2" t="s">
        <v>17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</row>
    <row r="3" spans="2:8" x14ac:dyDescent="0.3">
      <c r="B3">
        <v>2011</v>
      </c>
      <c r="C3">
        <v>1982.7108083144371</v>
      </c>
      <c r="D3">
        <v>2036.4586380904448</v>
      </c>
      <c r="E3">
        <v>3945.3243001316237</v>
      </c>
      <c r="F3">
        <v>1599.107</v>
      </c>
      <c r="G3">
        <v>1642.4559999999999</v>
      </c>
      <c r="H3">
        <v>3182.0050000000001</v>
      </c>
    </row>
    <row r="4" spans="2:8" x14ac:dyDescent="0.3">
      <c r="B4">
        <v>2012</v>
      </c>
      <c r="C4">
        <v>2264.2612465019583</v>
      </c>
      <c r="D4">
        <v>2827.8035884610499</v>
      </c>
      <c r="E4">
        <v>2968.2624885961113</v>
      </c>
      <c r="F4">
        <v>1874.567</v>
      </c>
      <c r="G4">
        <v>2341.12</v>
      </c>
      <c r="H4">
        <v>2457.4050000000002</v>
      </c>
    </row>
    <row r="5" spans="2:8" x14ac:dyDescent="0.3">
      <c r="B5">
        <v>2013</v>
      </c>
      <c r="C5">
        <v>2177.6309449315199</v>
      </c>
      <c r="D5">
        <v>2546.09923140707</v>
      </c>
      <c r="E5">
        <v>2765.3628510406356</v>
      </c>
      <c r="F5">
        <v>1854.402</v>
      </c>
      <c r="G5">
        <v>2168.1779999999999</v>
      </c>
      <c r="H5">
        <v>2354.8960000000002</v>
      </c>
    </row>
    <row r="6" spans="2:8" x14ac:dyDescent="0.3">
      <c r="B6">
        <v>2014</v>
      </c>
      <c r="C6">
        <v>2138.140476152576</v>
      </c>
      <c r="D6">
        <v>2236.0968873222819</v>
      </c>
      <c r="E6">
        <v>2311.3576628471355</v>
      </c>
      <c r="F6">
        <v>1879.4760000000001</v>
      </c>
      <c r="G6">
        <v>1965.5820000000001</v>
      </c>
      <c r="H6">
        <v>2031.7380000000001</v>
      </c>
    </row>
    <row r="7" spans="2:8" x14ac:dyDescent="0.3">
      <c r="B7">
        <v>2015</v>
      </c>
      <c r="C7">
        <v>2015.0989924250807</v>
      </c>
      <c r="D7">
        <v>2055.2054580212457</v>
      </c>
      <c r="E7">
        <v>2784.9382679797936</v>
      </c>
      <c r="F7">
        <v>1849.221</v>
      </c>
      <c r="G7">
        <v>1886.0260000000001</v>
      </c>
      <c r="H7">
        <v>2555.6889999999999</v>
      </c>
    </row>
    <row r="8" spans="2:8" x14ac:dyDescent="0.3">
      <c r="B8">
        <v>2016</v>
      </c>
      <c r="C8">
        <v>2140.560094090461</v>
      </c>
      <c r="D8">
        <v>2136.9997051374771</v>
      </c>
      <c r="E8">
        <v>2203.8691507857225</v>
      </c>
      <c r="F8">
        <v>2027.8989999999999</v>
      </c>
      <c r="G8">
        <v>2024.5260000000001</v>
      </c>
      <c r="H8">
        <v>2087.8760000000002</v>
      </c>
    </row>
    <row r="9" spans="2:8" x14ac:dyDescent="0.3">
      <c r="B9">
        <v>2017</v>
      </c>
      <c r="C9">
        <v>2138.3410980628964</v>
      </c>
      <c r="D9">
        <v>1631.7465959100111</v>
      </c>
      <c r="E9">
        <v>2354.0448346368057</v>
      </c>
      <c r="F9">
        <v>2053.4459999999999</v>
      </c>
      <c r="G9">
        <v>1566.9639999999999</v>
      </c>
      <c r="H9">
        <v>2260.5859999999998</v>
      </c>
    </row>
    <row r="10" spans="2:8" x14ac:dyDescent="0.3">
      <c r="B10">
        <v>2018</v>
      </c>
      <c r="C10">
        <v>2089.085366492799</v>
      </c>
      <c r="D10">
        <v>2218.623819910978</v>
      </c>
      <c r="E10">
        <v>2228.5285088124729</v>
      </c>
      <c r="F10">
        <v>2050.1309999999999</v>
      </c>
      <c r="G10">
        <v>2177.2539999999999</v>
      </c>
      <c r="H10">
        <v>2186.9740000000002</v>
      </c>
    </row>
    <row r="11" spans="2:8" x14ac:dyDescent="0.3">
      <c r="B11">
        <v>2019</v>
      </c>
      <c r="C11">
        <v>2104.98</v>
      </c>
      <c r="D11">
        <v>2120.8969999999999</v>
      </c>
      <c r="E11">
        <v>2208.663</v>
      </c>
      <c r="F11">
        <v>2104.98</v>
      </c>
      <c r="G11">
        <v>2120.8969999999999</v>
      </c>
      <c r="H11">
        <v>2208.663</v>
      </c>
    </row>
    <row r="12" spans="2:8" x14ac:dyDescent="0.3">
      <c r="B12">
        <v>2020</v>
      </c>
      <c r="C12">
        <v>1973.9758718940088</v>
      </c>
      <c r="D12">
        <v>2120.5084439554353</v>
      </c>
      <c r="E12">
        <v>2396.3161180390907</v>
      </c>
      <c r="F12">
        <v>2012.9269999999999</v>
      </c>
      <c r="G12">
        <v>2162.3510000000001</v>
      </c>
      <c r="H12">
        <v>2443.6010000000001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3952-807B-4D0C-B951-D718E5240BB4}">
  <dimension ref="A3:C6"/>
  <sheetViews>
    <sheetView workbookViewId="0">
      <selection activeCell="N18" sqref="N18"/>
    </sheetView>
  </sheetViews>
  <sheetFormatPr defaultRowHeight="14.4" x14ac:dyDescent="0.3"/>
  <cols>
    <col min="1" max="1" width="26" bestFit="1" customWidth="1"/>
    <col min="2" max="2" width="14.88671875" bestFit="1" customWidth="1"/>
  </cols>
  <sheetData>
    <row r="3" spans="1:3" x14ac:dyDescent="0.3">
      <c r="A3" t="s">
        <v>34</v>
      </c>
      <c r="B3" s="5">
        <v>2232972.2000000002</v>
      </c>
      <c r="C3">
        <f>B3/$B$6</f>
        <v>0.14704286402237768</v>
      </c>
    </row>
    <row r="4" spans="1:3" x14ac:dyDescent="0.3">
      <c r="A4" t="s">
        <v>35</v>
      </c>
      <c r="B4" s="5">
        <v>2266602.7999999998</v>
      </c>
      <c r="C4">
        <f t="shared" ref="C4:C5" si="0">B4/$B$6</f>
        <v>0.149257463802344</v>
      </c>
    </row>
    <row r="5" spans="1:3" x14ac:dyDescent="0.3">
      <c r="A5" t="s">
        <v>36</v>
      </c>
      <c r="B5" s="5">
        <v>10686284</v>
      </c>
      <c r="C5">
        <f t="shared" si="0"/>
        <v>0.70369967217527829</v>
      </c>
    </row>
    <row r="6" spans="1:3" x14ac:dyDescent="0.3">
      <c r="B6" s="6">
        <f>SUM(B3:B5)</f>
        <v>15185859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1D72-B23A-4D75-9494-EF24197FFEAE}">
  <dimension ref="B3:K32"/>
  <sheetViews>
    <sheetView topLeftCell="A19" zoomScale="115" zoomScaleNormal="115" workbookViewId="0">
      <selection activeCell="G31" sqref="G31:K32"/>
    </sheetView>
  </sheetViews>
  <sheetFormatPr defaultRowHeight="14.4" x14ac:dyDescent="0.3"/>
  <cols>
    <col min="2" max="2" width="19.21875" bestFit="1" customWidth="1"/>
    <col min="3" max="3" width="13.33203125" bestFit="1" customWidth="1"/>
    <col min="4" max="4" width="10.5546875" bestFit="1" customWidth="1"/>
    <col min="6" max="7" width="21.21875" bestFit="1" customWidth="1"/>
  </cols>
  <sheetData>
    <row r="3" spans="2:9" x14ac:dyDescent="0.3">
      <c r="B3" t="s">
        <v>44</v>
      </c>
      <c r="C3" t="s">
        <v>37</v>
      </c>
      <c r="D3" t="s">
        <v>38</v>
      </c>
    </row>
    <row r="4" spans="2:9" x14ac:dyDescent="0.3">
      <c r="B4" t="s">
        <v>39</v>
      </c>
      <c r="C4" s="4">
        <v>0.26066949557090308</v>
      </c>
      <c r="D4" s="8">
        <v>0.41604552139480477</v>
      </c>
      <c r="I4" s="7"/>
    </row>
    <row r="5" spans="2:9" x14ac:dyDescent="0.3">
      <c r="B5" t="s">
        <v>40</v>
      </c>
      <c r="C5" s="4">
        <v>5.7151630502399631E-2</v>
      </c>
      <c r="D5" s="8">
        <v>7.6049319024152559E-2</v>
      </c>
      <c r="I5" s="7"/>
    </row>
    <row r="6" spans="2:9" x14ac:dyDescent="0.3">
      <c r="B6" t="s">
        <v>41</v>
      </c>
      <c r="C6" s="4">
        <v>4.8612857484463527E-2</v>
      </c>
      <c r="D6" s="8">
        <v>6.1475020734697974E-2</v>
      </c>
      <c r="E6" s="10"/>
      <c r="F6" s="11"/>
      <c r="G6" s="11"/>
      <c r="I6" s="7"/>
    </row>
    <row r="7" spans="2:9" x14ac:dyDescent="0.3">
      <c r="B7" t="s">
        <v>42</v>
      </c>
      <c r="C7" s="4">
        <v>0.10199011560035684</v>
      </c>
      <c r="D7" s="8">
        <v>0.11287691919110494</v>
      </c>
      <c r="I7" s="7"/>
    </row>
    <row r="8" spans="2:9" x14ac:dyDescent="0.3">
      <c r="B8" t="s">
        <v>43</v>
      </c>
      <c r="C8" s="4">
        <v>0.531575900841877</v>
      </c>
      <c r="D8" s="8">
        <v>0.33355321965523976</v>
      </c>
      <c r="I8" s="7"/>
    </row>
    <row r="9" spans="2:9" x14ac:dyDescent="0.3">
      <c r="C9" s="7"/>
    </row>
    <row r="19" spans="2:11" x14ac:dyDescent="0.3">
      <c r="B19" t="s">
        <v>44</v>
      </c>
      <c r="C19" t="s">
        <v>37</v>
      </c>
      <c r="D19" t="s">
        <v>38</v>
      </c>
    </row>
    <row r="20" spans="2:11" x14ac:dyDescent="0.3">
      <c r="B20" t="s">
        <v>39</v>
      </c>
      <c r="C20" s="7">
        <v>590834</v>
      </c>
      <c r="D20" s="7">
        <v>929018</v>
      </c>
    </row>
    <row r="21" spans="2:11" x14ac:dyDescent="0.3">
      <c r="B21" t="s">
        <v>40</v>
      </c>
      <c r="C21" s="7">
        <v>129540</v>
      </c>
      <c r="D21" s="7">
        <v>169816</v>
      </c>
    </row>
    <row r="22" spans="2:11" x14ac:dyDescent="0.3">
      <c r="B22" t="s">
        <v>41</v>
      </c>
      <c r="C22" s="7">
        <v>110186</v>
      </c>
      <c r="D22" s="7">
        <v>137272</v>
      </c>
    </row>
    <row r="23" spans="2:11" x14ac:dyDescent="0.3">
      <c r="B23" t="s">
        <v>42</v>
      </c>
      <c r="C23" s="7">
        <v>231171</v>
      </c>
      <c r="D23" s="7">
        <v>252051</v>
      </c>
    </row>
    <row r="24" spans="2:11" x14ac:dyDescent="0.3">
      <c r="B24" t="s">
        <v>43</v>
      </c>
      <c r="C24" s="7">
        <v>1204871</v>
      </c>
      <c r="D24" s="7">
        <v>744815</v>
      </c>
    </row>
    <row r="25" spans="2:11" x14ac:dyDescent="0.3">
      <c r="F25" t="str" cm="1">
        <f t="array" ref="F25:K27">TRANSPOSE(B19:D24)</f>
        <v xml:space="preserve">Número de trabajadores </v>
      </c>
      <c r="G25" t="str">
        <v>Hasta 20 personas</v>
      </c>
      <c r="H25" t="str">
        <v>De 21 a 50 personas</v>
      </c>
      <c r="I25" t="str">
        <v>De 51 a 100 personas</v>
      </c>
      <c r="J25" t="str">
        <v>De 101 a 500 personas</v>
      </c>
      <c r="K25" t="str">
        <v>Más de 500 personas</v>
      </c>
    </row>
    <row r="26" spans="2:11" x14ac:dyDescent="0.3">
      <c r="F26" t="str">
        <v>No Vulnerables</v>
      </c>
      <c r="G26">
        <v>590834</v>
      </c>
      <c r="H26">
        <v>129540</v>
      </c>
      <c r="I26">
        <v>110186</v>
      </c>
      <c r="J26">
        <v>231171</v>
      </c>
      <c r="K26">
        <v>1204871</v>
      </c>
    </row>
    <row r="27" spans="2:11" x14ac:dyDescent="0.3">
      <c r="F27" t="str">
        <v>Vulnerables</v>
      </c>
      <c r="G27">
        <v>929018</v>
      </c>
      <c r="H27">
        <v>169816</v>
      </c>
      <c r="I27">
        <v>137272</v>
      </c>
      <c r="J27">
        <v>252051</v>
      </c>
      <c r="K27">
        <v>744815</v>
      </c>
    </row>
    <row r="28" spans="2:11" x14ac:dyDescent="0.3">
      <c r="G28">
        <f>SUM(G26:G27)</f>
        <v>1519852</v>
      </c>
      <c r="H28">
        <f t="shared" ref="H28:K28" si="0">SUM(H26:H27)</f>
        <v>299356</v>
      </c>
      <c r="I28">
        <f t="shared" si="0"/>
        <v>247458</v>
      </c>
      <c r="J28">
        <f t="shared" si="0"/>
        <v>483222</v>
      </c>
      <c r="K28">
        <f t="shared" si="0"/>
        <v>1949686</v>
      </c>
    </row>
    <row r="30" spans="2:11" x14ac:dyDescent="0.3">
      <c r="F30" t="s">
        <v>44</v>
      </c>
      <c r="G30" t="s">
        <v>39</v>
      </c>
      <c r="H30" t="s">
        <v>40</v>
      </c>
      <c r="I30" t="s">
        <v>41</v>
      </c>
      <c r="J30" t="s">
        <v>42</v>
      </c>
      <c r="K30" t="s">
        <v>43</v>
      </c>
    </row>
    <row r="31" spans="2:11" x14ac:dyDescent="0.3">
      <c r="F31" t="s">
        <v>37</v>
      </c>
      <c r="G31" s="8">
        <f>G26/G$28</f>
        <v>0.3887444303787474</v>
      </c>
      <c r="H31" s="8">
        <f t="shared" ref="H31:K31" si="1">H26/H$28</f>
        <v>0.43272892475848151</v>
      </c>
      <c r="I31" s="8">
        <f t="shared" si="1"/>
        <v>0.44527152082373572</v>
      </c>
      <c r="J31" s="8">
        <f t="shared" si="1"/>
        <v>0.47839502340539131</v>
      </c>
      <c r="K31" s="8">
        <f t="shared" si="1"/>
        <v>0.61798207506234337</v>
      </c>
    </row>
    <row r="32" spans="2:11" x14ac:dyDescent="0.3">
      <c r="F32" t="s">
        <v>38</v>
      </c>
      <c r="G32" s="8">
        <f>G27/G$28</f>
        <v>0.6112555696212526</v>
      </c>
      <c r="H32" s="8">
        <f t="shared" ref="H32:K32" si="2">H27/H$28</f>
        <v>0.56727107524151843</v>
      </c>
      <c r="I32" s="8">
        <f t="shared" si="2"/>
        <v>0.55472847917626422</v>
      </c>
      <c r="J32" s="8">
        <f t="shared" si="2"/>
        <v>0.52160497659460869</v>
      </c>
      <c r="K32" s="8">
        <f t="shared" si="2"/>
        <v>0.38201792493765663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B588-8AC7-4CE7-8983-2884C9B7BED8}">
  <dimension ref="B3:R24"/>
  <sheetViews>
    <sheetView topLeftCell="C1" workbookViewId="0">
      <selection activeCell="R10" sqref="O10:R11"/>
    </sheetView>
  </sheetViews>
  <sheetFormatPr defaultRowHeight="14.4" x14ac:dyDescent="0.3"/>
  <cols>
    <col min="2" max="2" width="21.77734375" bestFit="1" customWidth="1"/>
    <col min="3" max="3" width="11.6640625" customWidth="1"/>
    <col min="14" max="14" width="21.77734375" bestFit="1" customWidth="1"/>
    <col min="15" max="15" width="11.6640625" bestFit="1" customWidth="1"/>
  </cols>
  <sheetData>
    <row r="3" spans="2:18" x14ac:dyDescent="0.3">
      <c r="C3" t="s">
        <v>37</v>
      </c>
      <c r="D3" t="s">
        <v>38</v>
      </c>
    </row>
    <row r="4" spans="2:18" x14ac:dyDescent="0.3">
      <c r="B4" t="s">
        <v>45</v>
      </c>
      <c r="C4" s="8">
        <v>9.1967182593150454E-2</v>
      </c>
      <c r="D4" s="8">
        <v>4.520477641457215E-2</v>
      </c>
      <c r="N4" t="str" cm="1">
        <f t="array" ref="N4:R6">TRANSPOSE(N19:P23)</f>
        <v>Categoría de trabajador</v>
      </c>
      <c r="O4" t="str">
        <v>Empleador o patrono</v>
      </c>
      <c r="P4" t="str">
        <v>Trabajador independiente</v>
      </c>
      <c r="Q4" t="str">
        <v>Empleado</v>
      </c>
      <c r="R4" t="str">
        <v>Obrero</v>
      </c>
    </row>
    <row r="5" spans="2:18" x14ac:dyDescent="0.3">
      <c r="B5" t="s">
        <v>46</v>
      </c>
      <c r="C5" s="8">
        <v>8.5610530653374525E-2</v>
      </c>
      <c r="D5" s="8">
        <v>0.21378637976651746</v>
      </c>
      <c r="N5" t="str">
        <v>No Vulnerables</v>
      </c>
      <c r="O5">
        <v>208453</v>
      </c>
      <c r="P5">
        <v>194045</v>
      </c>
      <c r="Q5">
        <v>1520840</v>
      </c>
      <c r="R5">
        <v>332087</v>
      </c>
    </row>
    <row r="6" spans="2:18" x14ac:dyDescent="0.3">
      <c r="B6" t="s">
        <v>48</v>
      </c>
      <c r="C6" s="8">
        <v>0.67097796613609273</v>
      </c>
      <c r="D6" s="8">
        <v>0.4648755112021109</v>
      </c>
      <c r="N6" t="str">
        <v>Vulnerables</v>
      </c>
      <c r="O6">
        <v>100941</v>
      </c>
      <c r="P6">
        <v>477379</v>
      </c>
      <c r="Q6">
        <v>1038054</v>
      </c>
      <c r="R6">
        <v>584250</v>
      </c>
    </row>
    <row r="7" spans="2:18" x14ac:dyDescent="0.3">
      <c r="B7" t="s">
        <v>47</v>
      </c>
      <c r="C7" s="8">
        <v>0.14651315052223549</v>
      </c>
      <c r="D7" s="8">
        <v>0.26164680972264764</v>
      </c>
      <c r="O7">
        <f>SUM(O5:O6)</f>
        <v>309394</v>
      </c>
      <c r="P7">
        <f t="shared" ref="P7:R7" si="0">SUM(P5:P6)</f>
        <v>671424</v>
      </c>
      <c r="Q7">
        <f t="shared" si="0"/>
        <v>2558894</v>
      </c>
      <c r="R7">
        <f t="shared" si="0"/>
        <v>916337</v>
      </c>
    </row>
    <row r="9" spans="2:18" x14ac:dyDescent="0.3">
      <c r="N9" t="s">
        <v>65</v>
      </c>
      <c r="O9" t="s">
        <v>45</v>
      </c>
      <c r="P9" t="s">
        <v>46</v>
      </c>
      <c r="Q9" t="s">
        <v>48</v>
      </c>
      <c r="R9" t="s">
        <v>47</v>
      </c>
    </row>
    <row r="10" spans="2:18" x14ac:dyDescent="0.3">
      <c r="N10" t="s">
        <v>37</v>
      </c>
      <c r="O10" s="8">
        <f>O5/O$7</f>
        <v>0.6737460972093835</v>
      </c>
      <c r="P10" s="8">
        <f t="shared" ref="P10:R10" si="1">P5/P$7</f>
        <v>0.28900515918406255</v>
      </c>
      <c r="Q10" s="8">
        <f t="shared" si="1"/>
        <v>0.59433489624814473</v>
      </c>
      <c r="R10" s="8">
        <f t="shared" si="1"/>
        <v>0.36240706203067213</v>
      </c>
    </row>
    <row r="11" spans="2:18" x14ac:dyDescent="0.3">
      <c r="N11" t="s">
        <v>38</v>
      </c>
      <c r="O11" s="8">
        <f>O6/O$7</f>
        <v>0.3262539027906165</v>
      </c>
      <c r="P11" s="8">
        <f t="shared" ref="P11:R11" si="2">P6/P$7</f>
        <v>0.71099484081593745</v>
      </c>
      <c r="Q11" s="8">
        <f t="shared" si="2"/>
        <v>0.40566510375185527</v>
      </c>
      <c r="R11" s="8">
        <f t="shared" si="2"/>
        <v>0.63759293796932792</v>
      </c>
    </row>
    <row r="19" spans="14:16" x14ac:dyDescent="0.3">
      <c r="N19" t="s">
        <v>65</v>
      </c>
      <c r="O19" t="s">
        <v>37</v>
      </c>
      <c r="P19" t="s">
        <v>38</v>
      </c>
    </row>
    <row r="20" spans="14:16" x14ac:dyDescent="0.3">
      <c r="N20" t="s">
        <v>45</v>
      </c>
      <c r="O20" s="7">
        <v>208453</v>
      </c>
      <c r="P20" s="7">
        <v>100941</v>
      </c>
    </row>
    <row r="21" spans="14:16" x14ac:dyDescent="0.3">
      <c r="N21" t="s">
        <v>46</v>
      </c>
      <c r="O21" s="7">
        <v>194045</v>
      </c>
      <c r="P21" s="7">
        <v>477379</v>
      </c>
    </row>
    <row r="22" spans="14:16" x14ac:dyDescent="0.3">
      <c r="N22" t="s">
        <v>48</v>
      </c>
      <c r="O22" s="7">
        <v>1520840</v>
      </c>
      <c r="P22" s="7">
        <v>1038054</v>
      </c>
    </row>
    <row r="23" spans="14:16" x14ac:dyDescent="0.3">
      <c r="N23" t="s">
        <v>47</v>
      </c>
      <c r="O23" s="7">
        <v>332087</v>
      </c>
      <c r="P23" s="7">
        <v>584250</v>
      </c>
    </row>
    <row r="24" spans="14:16" x14ac:dyDescent="0.3">
      <c r="O24" s="9"/>
      <c r="P24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79B8-0B9C-4CC1-A627-B3AE8C2D2702}">
  <dimension ref="B3:D11"/>
  <sheetViews>
    <sheetView topLeftCell="A7" zoomScale="115" zoomScaleNormal="115" workbookViewId="0">
      <selection activeCell="M19" sqref="M19"/>
    </sheetView>
  </sheetViews>
  <sheetFormatPr defaultRowHeight="14.4" x14ac:dyDescent="0.3"/>
  <cols>
    <col min="2" max="2" width="16.77734375" bestFit="1" customWidth="1"/>
    <col min="3" max="3" width="9.109375" bestFit="1" customWidth="1"/>
  </cols>
  <sheetData>
    <row r="3" spans="2:4" x14ac:dyDescent="0.3">
      <c r="C3" t="s">
        <v>37</v>
      </c>
      <c r="D3" t="s">
        <v>38</v>
      </c>
    </row>
    <row r="4" spans="2:4" x14ac:dyDescent="0.3">
      <c r="B4" t="s">
        <v>49</v>
      </c>
      <c r="C4" s="8">
        <v>0.51478013658203803</v>
      </c>
      <c r="D4" s="8">
        <v>0.20520989988868596</v>
      </c>
    </row>
    <row r="5" spans="2:4" x14ac:dyDescent="0.3">
      <c r="B5" t="s">
        <v>50</v>
      </c>
      <c r="C5" s="8">
        <v>0.41876835492532671</v>
      </c>
      <c r="D5" s="8">
        <v>0.69163238141401728</v>
      </c>
    </row>
    <row r="6" spans="2:4" x14ac:dyDescent="0.3">
      <c r="B6" t="s">
        <v>52</v>
      </c>
      <c r="C6" s="8">
        <v>5.0786346448291504E-2</v>
      </c>
      <c r="D6" s="8">
        <v>5.028310059176546E-2</v>
      </c>
    </row>
    <row r="7" spans="2:4" x14ac:dyDescent="0.3">
      <c r="B7" t="s">
        <v>51</v>
      </c>
      <c r="C7" s="8">
        <v>1.5665162044343692E-2</v>
      </c>
      <c r="D7" s="8">
        <v>5.2874618105531235E-2</v>
      </c>
    </row>
    <row r="11" spans="2:4" x14ac:dyDescent="0.3">
      <c r="C11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697E-4AD6-4C8A-AB84-88E471AB2C8E}">
  <dimension ref="D2:F5"/>
  <sheetViews>
    <sheetView workbookViewId="0">
      <selection activeCell="L9" sqref="L9"/>
    </sheetView>
  </sheetViews>
  <sheetFormatPr defaultRowHeight="14.4" x14ac:dyDescent="0.3"/>
  <cols>
    <col min="5" max="5" width="9.109375" customWidth="1"/>
  </cols>
  <sheetData>
    <row r="2" spans="4:6" x14ac:dyDescent="0.3">
      <c r="E2" t="s">
        <v>37</v>
      </c>
      <c r="F2" t="s">
        <v>38</v>
      </c>
    </row>
    <row r="3" spans="4:6" x14ac:dyDescent="0.3">
      <c r="D3" t="s">
        <v>53</v>
      </c>
      <c r="E3" s="8">
        <v>0.65378674606889697</v>
      </c>
      <c r="F3" s="8">
        <v>0.55114976811173633</v>
      </c>
    </row>
    <row r="4" spans="4:6" x14ac:dyDescent="0.3">
      <c r="D4" t="s">
        <v>54</v>
      </c>
      <c r="E4" s="8">
        <v>0.34621325393110308</v>
      </c>
      <c r="F4" s="8">
        <v>0.44885023188826373</v>
      </c>
    </row>
    <row r="5" spans="4:6" x14ac:dyDescent="0.3">
      <c r="E5" s="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81E1-D75D-41C8-878C-1A0DB33DDAE3}">
  <dimension ref="C5:L36"/>
  <sheetViews>
    <sheetView topLeftCell="A16" workbookViewId="0">
      <selection activeCell="H34" sqref="H34:L36"/>
    </sheetView>
  </sheetViews>
  <sheetFormatPr defaultRowHeight="14.4" x14ac:dyDescent="0.3"/>
  <cols>
    <col min="4" max="4" width="13.6640625" bestFit="1" customWidth="1"/>
    <col min="5" max="5" width="11.6640625" bestFit="1" customWidth="1"/>
  </cols>
  <sheetData>
    <row r="5" spans="3:5" x14ac:dyDescent="0.3">
      <c r="D5" t="s">
        <v>37</v>
      </c>
      <c r="E5" t="s">
        <v>38</v>
      </c>
    </row>
    <row r="6" spans="3:5" x14ac:dyDescent="0.3">
      <c r="C6" t="s">
        <v>55</v>
      </c>
      <c r="D6" s="8">
        <v>2.9141497575137554E-2</v>
      </c>
      <c r="E6" s="8">
        <v>0.13133659281518245</v>
      </c>
    </row>
    <row r="7" spans="3:5" x14ac:dyDescent="0.3">
      <c r="C7" t="s">
        <v>56</v>
      </c>
      <c r="D7" s="8">
        <v>0.54883281711290566</v>
      </c>
      <c r="E7" s="8">
        <v>0.52335754246861521</v>
      </c>
    </row>
    <row r="8" spans="3:5" x14ac:dyDescent="0.3">
      <c r="C8" t="s">
        <v>57</v>
      </c>
      <c r="D8" s="8">
        <v>0.3975500250860009</v>
      </c>
      <c r="E8" s="8">
        <v>0.3040368835711143</v>
      </c>
    </row>
    <row r="9" spans="3:5" x14ac:dyDescent="0.3">
      <c r="C9" t="s">
        <v>58</v>
      </c>
      <c r="D9" s="8">
        <v>2.4475660225955775E-2</v>
      </c>
      <c r="E9" s="8">
        <v>4.1268981145087993E-2</v>
      </c>
    </row>
    <row r="27" spans="3:12" x14ac:dyDescent="0.3">
      <c r="H27" t="str" cm="1">
        <f t="array" ref="H27:L29">TRANSPOSE(C31:E35)</f>
        <v>Grupo de edad</v>
      </c>
      <c r="I27" t="str">
        <v xml:space="preserve">  14-24    </v>
      </c>
      <c r="J27" t="str">
        <v xml:space="preserve">  25-44    </v>
      </c>
      <c r="K27" t="str">
        <v xml:space="preserve">  45-64    </v>
      </c>
      <c r="L27" t="str">
        <v xml:space="preserve">  65+      </v>
      </c>
    </row>
    <row r="28" spans="3:12" x14ac:dyDescent="0.3">
      <c r="H28" t="str">
        <v>No Vulnerables</v>
      </c>
      <c r="I28">
        <v>66052.2</v>
      </c>
      <c r="J28">
        <v>1243986</v>
      </c>
      <c r="K28">
        <v>901088</v>
      </c>
      <c r="L28">
        <v>55476.6</v>
      </c>
    </row>
    <row r="29" spans="3:12" x14ac:dyDescent="0.3">
      <c r="H29" t="str">
        <v>Vulnerables</v>
      </c>
      <c r="I29">
        <v>293271</v>
      </c>
      <c r="J29">
        <v>1168643</v>
      </c>
      <c r="K29">
        <v>678906</v>
      </c>
      <c r="L29">
        <v>92152.5</v>
      </c>
    </row>
    <row r="30" spans="3:12" x14ac:dyDescent="0.3">
      <c r="I30">
        <f>SUM(I28:I29)</f>
        <v>359323.2</v>
      </c>
      <c r="J30">
        <f t="shared" ref="J30:L30" si="0">SUM(J28:J29)</f>
        <v>2412629</v>
      </c>
      <c r="K30">
        <f t="shared" si="0"/>
        <v>1579994</v>
      </c>
      <c r="L30">
        <f t="shared" si="0"/>
        <v>147629.1</v>
      </c>
    </row>
    <row r="31" spans="3:12" x14ac:dyDescent="0.3">
      <c r="C31" t="s">
        <v>70</v>
      </c>
      <c r="D31" t="s">
        <v>37</v>
      </c>
      <c r="E31" t="s">
        <v>38</v>
      </c>
    </row>
    <row r="32" spans="3:12" x14ac:dyDescent="0.3">
      <c r="C32" t="s">
        <v>66</v>
      </c>
      <c r="D32" s="7">
        <v>66052.2</v>
      </c>
      <c r="E32" s="7">
        <v>293271</v>
      </c>
    </row>
    <row r="33" spans="3:12" x14ac:dyDescent="0.3">
      <c r="C33" t="s">
        <v>67</v>
      </c>
      <c r="D33" s="7">
        <v>1243986</v>
      </c>
      <c r="E33" s="7">
        <v>1168643</v>
      </c>
    </row>
    <row r="34" spans="3:12" x14ac:dyDescent="0.3">
      <c r="C34" t="s">
        <v>68</v>
      </c>
      <c r="D34" s="7">
        <v>901088</v>
      </c>
      <c r="E34" s="7">
        <v>678906</v>
      </c>
      <c r="H34" t="s">
        <v>70</v>
      </c>
      <c r="I34" t="s">
        <v>66</v>
      </c>
      <c r="J34" t="s">
        <v>67</v>
      </c>
      <c r="K34" t="s">
        <v>68</v>
      </c>
      <c r="L34" t="s">
        <v>69</v>
      </c>
    </row>
    <row r="35" spans="3:12" x14ac:dyDescent="0.3">
      <c r="C35" t="s">
        <v>69</v>
      </c>
      <c r="D35" s="7">
        <v>55476.6</v>
      </c>
      <c r="E35" s="7">
        <v>92152.5</v>
      </c>
      <c r="H35" t="s">
        <v>37</v>
      </c>
      <c r="I35" s="8">
        <f>I28/I$30</f>
        <v>0.18382392230727099</v>
      </c>
      <c r="J35" s="8">
        <f t="shared" ref="J35:L35" si="1">J28/J$30</f>
        <v>0.51561429461388386</v>
      </c>
      <c r="K35" s="8">
        <f t="shared" si="1"/>
        <v>0.57031102649756893</v>
      </c>
      <c r="L35" s="8">
        <f t="shared" si="1"/>
        <v>0.37578363615303484</v>
      </c>
    </row>
    <row r="36" spans="3:12" x14ac:dyDescent="0.3">
      <c r="H36" t="s">
        <v>38</v>
      </c>
      <c r="I36" s="8">
        <f>I29/I$30</f>
        <v>0.81617607769272893</v>
      </c>
      <c r="J36" s="8">
        <f t="shared" ref="J36:L36" si="2">J29/J$30</f>
        <v>0.48438570538611614</v>
      </c>
      <c r="K36" s="8">
        <f t="shared" si="2"/>
        <v>0.42968897350243102</v>
      </c>
      <c r="L36" s="8">
        <f t="shared" si="2"/>
        <v>0.62421636384696511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231A-7F71-430A-B296-2AC1805E42E0}">
  <dimension ref="B3:O44"/>
  <sheetViews>
    <sheetView tabSelected="1" topLeftCell="D32" workbookViewId="0">
      <selection activeCell="I39" sqref="I39"/>
    </sheetView>
  </sheetViews>
  <sheetFormatPr defaultRowHeight="14.4" x14ac:dyDescent="0.3"/>
  <cols>
    <col min="4" max="4" width="30.21875" bestFit="1" customWidth="1"/>
    <col min="5" max="5" width="13.109375" customWidth="1"/>
    <col min="10" max="10" width="20.5546875" bestFit="1" customWidth="1"/>
    <col min="11" max="11" width="12.88671875" bestFit="1" customWidth="1"/>
    <col min="12" max="12" width="10.6640625" bestFit="1" customWidth="1"/>
  </cols>
  <sheetData>
    <row r="3" spans="4:6" x14ac:dyDescent="0.3">
      <c r="E3" t="s">
        <v>59</v>
      </c>
      <c r="F3" s="7" t="s">
        <v>38</v>
      </c>
    </row>
    <row r="4" spans="4:6" x14ac:dyDescent="0.3">
      <c r="D4" t="s">
        <v>64</v>
      </c>
      <c r="E4" s="8">
        <v>1.2244530745986528E-2</v>
      </c>
      <c r="F4" s="8">
        <v>3.5237212848001617E-2</v>
      </c>
    </row>
    <row r="5" spans="4:6" x14ac:dyDescent="0.3">
      <c r="D5" t="s">
        <v>60</v>
      </c>
      <c r="E5" s="8">
        <v>3.8937520328604168E-2</v>
      </c>
      <c r="F5" s="8">
        <v>0.11361459026976338</v>
      </c>
    </row>
    <row r="6" spans="4:6" x14ac:dyDescent="0.3">
      <c r="D6" t="s">
        <v>61</v>
      </c>
      <c r="E6" s="8">
        <v>0.29217714920600185</v>
      </c>
      <c r="F6" s="8">
        <v>0.48493397819169254</v>
      </c>
    </row>
    <row r="7" spans="4:6" x14ac:dyDescent="0.3">
      <c r="D7" t="s">
        <v>62</v>
      </c>
      <c r="E7" s="8">
        <v>0.20820276073137975</v>
      </c>
      <c r="F7" s="8">
        <v>0.20035136938415987</v>
      </c>
    </row>
    <row r="8" spans="4:6" x14ac:dyDescent="0.3">
      <c r="D8" t="s">
        <v>63</v>
      </c>
      <c r="E8" s="8">
        <v>0.44843803898802759</v>
      </c>
      <c r="F8" s="8">
        <v>0.16586284930638245</v>
      </c>
    </row>
    <row r="9" spans="4:6" x14ac:dyDescent="0.3">
      <c r="E9" s="7"/>
    </row>
    <row r="29" spans="2:12" x14ac:dyDescent="0.3">
      <c r="B29">
        <v>1</v>
      </c>
      <c r="C29" s="9">
        <v>3520.69</v>
      </c>
      <c r="D29" s="7">
        <v>9789.61</v>
      </c>
      <c r="E29" t="s">
        <v>71</v>
      </c>
      <c r="J29" t="s">
        <v>81</v>
      </c>
      <c r="K29" t="s">
        <v>59</v>
      </c>
      <c r="L29" s="7" t="s">
        <v>38</v>
      </c>
    </row>
    <row r="30" spans="2:12" x14ac:dyDescent="0.3">
      <c r="B30">
        <v>3</v>
      </c>
      <c r="C30" s="9">
        <v>24232.799999999999</v>
      </c>
      <c r="D30" s="7">
        <v>68894.100000000006</v>
      </c>
      <c r="E30" t="s">
        <v>72</v>
      </c>
      <c r="J30" t="s">
        <v>64</v>
      </c>
      <c r="K30" s="12">
        <f>C29+C30</f>
        <v>27753.489999999998</v>
      </c>
      <c r="L30" s="12">
        <f>D29+D30</f>
        <v>78683.710000000006</v>
      </c>
    </row>
    <row r="31" spans="2:12" x14ac:dyDescent="0.3">
      <c r="B31">
        <v>4</v>
      </c>
      <c r="C31" s="9">
        <v>34897.4</v>
      </c>
      <c r="D31" s="7">
        <v>98424.2</v>
      </c>
      <c r="E31" t="s">
        <v>73</v>
      </c>
      <c r="J31" t="s">
        <v>60</v>
      </c>
      <c r="K31" s="12">
        <f>C31+C32</f>
        <v>88255.9</v>
      </c>
      <c r="L31" s="12">
        <f>D31+D32</f>
        <v>253698.2</v>
      </c>
    </row>
    <row r="32" spans="2:12" x14ac:dyDescent="0.3">
      <c r="B32">
        <v>5</v>
      </c>
      <c r="C32" s="9">
        <v>53358.5</v>
      </c>
      <c r="D32" s="7">
        <v>155274</v>
      </c>
      <c r="E32" t="s">
        <v>74</v>
      </c>
      <c r="J32" t="s">
        <v>61</v>
      </c>
      <c r="K32" s="13">
        <f>+C33+C34+C36</f>
        <v>662249.6</v>
      </c>
      <c r="L32" s="13">
        <f>+D33+D34+D36</f>
        <v>1082844</v>
      </c>
    </row>
    <row r="33" spans="2:15" x14ac:dyDescent="0.3">
      <c r="B33">
        <v>6</v>
      </c>
      <c r="C33" s="7">
        <v>431396</v>
      </c>
      <c r="D33" s="7">
        <v>698215</v>
      </c>
      <c r="E33" t="s">
        <v>75</v>
      </c>
      <c r="J33" t="s">
        <v>62</v>
      </c>
      <c r="K33" s="14">
        <f>C35</f>
        <v>471913</v>
      </c>
      <c r="L33" s="14">
        <f>D35</f>
        <v>447379</v>
      </c>
    </row>
    <row r="34" spans="2:15" x14ac:dyDescent="0.3">
      <c r="B34">
        <v>7</v>
      </c>
      <c r="C34" s="9">
        <v>79688.600000000006</v>
      </c>
      <c r="D34" s="7">
        <v>165478</v>
      </c>
      <c r="E34" t="s">
        <v>76</v>
      </c>
      <c r="J34" t="s">
        <v>63</v>
      </c>
      <c r="K34" s="14">
        <f>C37+C38</f>
        <v>1016431</v>
      </c>
      <c r="L34" s="14">
        <f>D37+D38</f>
        <v>370367.1</v>
      </c>
    </row>
    <row r="35" spans="2:15" x14ac:dyDescent="0.3">
      <c r="B35">
        <v>8</v>
      </c>
      <c r="C35" s="7">
        <v>471913</v>
      </c>
      <c r="D35" s="7">
        <v>447379</v>
      </c>
      <c r="E35" t="s">
        <v>77</v>
      </c>
    </row>
    <row r="36" spans="2:15" x14ac:dyDescent="0.3">
      <c r="B36">
        <v>9</v>
      </c>
      <c r="C36" s="7">
        <v>151165</v>
      </c>
      <c r="D36" s="7">
        <v>219151</v>
      </c>
      <c r="E36" t="s">
        <v>78</v>
      </c>
      <c r="J36" t="str" cm="1">
        <f t="array" ref="J36:O38">TRANSPOSE(J29:L34)</f>
        <v>Nivel de educación alcanzado</v>
      </c>
      <c r="K36" t="str">
        <v>Sin nivel o inicial</v>
      </c>
      <c r="L36" t="str">
        <v>Primaria</v>
      </c>
      <c r="M36" t="str">
        <v>Secundaria</v>
      </c>
      <c r="N36" t="str">
        <v>Superior no universitaria</v>
      </c>
      <c r="O36" t="str">
        <v>Superior universitaria</v>
      </c>
    </row>
    <row r="37" spans="2:15" x14ac:dyDescent="0.3">
      <c r="B37">
        <v>10</v>
      </c>
      <c r="C37" s="7">
        <v>737253</v>
      </c>
      <c r="D37" s="7">
        <v>337347</v>
      </c>
      <c r="E37" t="s">
        <v>79</v>
      </c>
      <c r="J37" t="str">
        <v>No vulnerables</v>
      </c>
      <c r="K37">
        <v>27753.489999999998</v>
      </c>
      <c r="L37">
        <v>88255.9</v>
      </c>
      <c r="M37">
        <v>662249.6</v>
      </c>
      <c r="N37">
        <v>471913</v>
      </c>
      <c r="O37">
        <v>1016431</v>
      </c>
    </row>
    <row r="38" spans="2:15" x14ac:dyDescent="0.3">
      <c r="B38">
        <v>11</v>
      </c>
      <c r="C38" s="7">
        <v>279178</v>
      </c>
      <c r="D38" s="7">
        <v>33020.1</v>
      </c>
      <c r="E38" t="s">
        <v>80</v>
      </c>
      <c r="J38" t="str">
        <v>Vulnerables</v>
      </c>
      <c r="K38">
        <v>78683.710000000006</v>
      </c>
      <c r="L38">
        <v>253698.2</v>
      </c>
      <c r="M38">
        <v>1082844</v>
      </c>
      <c r="N38">
        <v>447379</v>
      </c>
      <c r="O38">
        <v>370367.1</v>
      </c>
    </row>
    <row r="39" spans="2:15" x14ac:dyDescent="0.3">
      <c r="K39">
        <f>SUM(K37:K38)</f>
        <v>106437.20000000001</v>
      </c>
      <c r="L39">
        <f t="shared" ref="L39:O39" si="0">SUM(L37:L38)</f>
        <v>341954.1</v>
      </c>
      <c r="M39">
        <f t="shared" si="0"/>
        <v>1745093.6</v>
      </c>
      <c r="N39">
        <f t="shared" si="0"/>
        <v>919292</v>
      </c>
      <c r="O39">
        <f t="shared" si="0"/>
        <v>1386798.1</v>
      </c>
    </row>
    <row r="42" spans="2:15" x14ac:dyDescent="0.3">
      <c r="J42" t="s">
        <v>81</v>
      </c>
      <c r="K42" t="s">
        <v>64</v>
      </c>
      <c r="L42" t="s">
        <v>60</v>
      </c>
      <c r="M42" t="s">
        <v>61</v>
      </c>
      <c r="N42" t="s">
        <v>62</v>
      </c>
      <c r="O42" t="s">
        <v>63</v>
      </c>
    </row>
    <row r="43" spans="2:15" x14ac:dyDescent="0.3">
      <c r="J43" t="s">
        <v>59</v>
      </c>
      <c r="K43" s="8">
        <f>K37/K$39</f>
        <v>0.26074990698740663</v>
      </c>
      <c r="L43" s="8">
        <f t="shared" ref="L43:O43" si="1">L37/L$39</f>
        <v>0.25809282590850641</v>
      </c>
      <c r="M43" s="8">
        <f t="shared" si="1"/>
        <v>0.37949230918043592</v>
      </c>
      <c r="N43" s="8">
        <f t="shared" si="1"/>
        <v>0.51334396470327159</v>
      </c>
      <c r="O43" s="8">
        <f t="shared" si="1"/>
        <v>0.73293365487016449</v>
      </c>
    </row>
    <row r="44" spans="2:15" x14ac:dyDescent="0.3">
      <c r="J44" t="s">
        <v>38</v>
      </c>
      <c r="K44" s="8">
        <f>K38/K$39</f>
        <v>0.73925009301259337</v>
      </c>
      <c r="L44" s="8">
        <f t="shared" ref="L44:O44" si="2">L38/L$39</f>
        <v>0.74190717409149365</v>
      </c>
      <c r="M44" s="8">
        <f t="shared" si="2"/>
        <v>0.62050769081956403</v>
      </c>
      <c r="N44" s="8">
        <f t="shared" si="2"/>
        <v>0.48665603529672835</v>
      </c>
      <c r="O44" s="8">
        <f t="shared" si="2"/>
        <v>0.2670663451298354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Cuadros</dc:creator>
  <cp:lastModifiedBy>Sergio Cuadros</cp:lastModifiedBy>
  <dcterms:created xsi:type="dcterms:W3CDTF">2025-11-20T06:25:05Z</dcterms:created>
  <dcterms:modified xsi:type="dcterms:W3CDTF">2025-11-24T23:37:09Z</dcterms:modified>
</cp:coreProperties>
</file>